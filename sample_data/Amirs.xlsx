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slicerCaches/slicerCache4.xml" ContentType="application/vnd.ms-excel.slicerCache+xml"/>
  <Override PartName="/xl/slicerCaches/slicerCache3.xml" ContentType="application/vnd.ms-excel.slicerCache+xml"/>
  <Override PartName="/xl/slicerCaches/slicerCache2.xml" ContentType="application/vnd.ms-excel.slicerCache+xml"/>
  <Override PartName="/xl/slicerCaches/slicerCache1.xml" ContentType="application/vnd.ms-excel.slicerCache+xml"/>
  <Override PartName="/xl/theme/theme1.xml" ContentType="application/vnd.openxmlformats-officedocument.theme+xml"/>
  <Override PartName="/xl/sharedStrings.xml" ContentType="application/vnd.openxmlformats-officedocument.spreadsheetml.sharedStrings+xml"/>
  <Override PartName="/xl/persons/person.xml" ContentType="application/vnd.ms-excel.person+xml"/>
  <Override PartName="/xl/metadata.xml" ContentType="application/vnd.openxmlformats-officedocument.spreadsheetml.sheetMetadata+xml"/>
  <Override PartName="/xl/worksheets/sheet1.xml" ContentType="application/vnd.openxmlformats-officedocument.spreadsheetml.worksheet+xml"/>
  <Override PartName="/xl/slicers/slicer1.xml" ContentType="application/vnd.ms-excel.slicer+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vmlDrawing1.vml" ContentType="application/vnd.openxmlformats-officedocument.vmlDrawing"/>
  <Override PartName="/xl/threadedComments/threadedComment1.xml" ContentType="application/vnd.ms-excel.threadedcomments+xml"/>
  <Override PartName="/xl/comments1.xml" ContentType="application/vnd.openxmlformats-officedocument.spreadsheetml.comments+xml"/>
  <Override PartName="/xl/worksheets/sheet2.xml" ContentType="application/vnd.openxmlformats-officedocument.spreadsheetml.worksheet+xml"/>
  <Override PartName="/xl/slicers/slicer2.xml" ContentType="application/vnd.ms-excel.slicer+xml"/>
  <Override PartName="/xl/tables/table2.xml" ContentType="application/vnd.openxmlformats-officedocument.spreadsheetml.table+xml"/>
  <Override PartName="/xl/drawings/drawing2.xml" ContentType="application/vnd.openxmlformats-officedocument.drawing+xml"/>
  <Override PartName="/xl/drawings/vmlDrawing2.vml" ContentType="application/vnd.openxmlformats-officedocument.vmlDrawing"/>
  <Override PartName="/xl/threadedComments/threadedComment2.xml" ContentType="application/vnd.ms-excel.threaded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s:workbook xmlns:unk2="http://schemas.microsoft.com/office/spreadsheetml/2010/11/main" xmlns:r="http://schemas.openxmlformats.org/officeDocument/2006/relationships" xmlns:s="http://schemas.openxmlformats.org/spreadsheetml/2006/main" xmlns:x14="http://schemas.microsoft.com/office/spreadsheetml/2009/9/main">
  <s:workbookPr/>
  <s:bookViews>
    <s:workbookView xWindow="360" yWindow="15" windowWidth="20955" windowHeight="9720" activeTab="0"/>
  </s:bookViews>
  <s:sheets>
    <s:sheet name="Амирс" sheetId="1" state="visible" r:id="rId5"/>
    <s:sheet name="Судимость" sheetId="2" state="visible" r:id="rId6"/>
  </s:sheets>
  <s:definedNames>
    <s:definedName name="Slicer_Патч" hidden="0">#N/A</s:definedName>
    <s:definedName name="Slicer_Версия_базы" hidden="0">#N/A</s:definedName>
    <s:definedName name="Slicer_ПИ_№" hidden="0">#N/A</s:definedName>
    <s:definedName name="Slicer_Версия_базы1" hidden="0">#N/A</s:definedName>
  </s:definedNames>
  <s:calcPr/>
  <s:extLst>
    <s:ext uri="{46BE6895-7355-4a93-B00E-2C351335B9C9}">
      <unk2:slicerCaches>
        <x14:slicerCache r:id="rId1"/>
        <x14:slicerCache r:id="rId2"/>
        <x14:slicerCache r:id="rId3"/>
        <x14:slicerCache r:id="rId4"/>
      </unk2:slicerCaches>
    </s:ext>
  </s:extLst>
</s:workbook>
</file>

<file path=xl/comments1.xml><?xml version="1.0" encoding="utf-8"?>
<s:comments xmlns:mc="http://schemas.openxmlformats.org/markup-compatibility/2006" xmlns:xr="http://schemas.microsoft.com/office/spreadsheetml/2014/revision" xmlns:s="http://schemas.openxmlformats.org/spreadsheetml/2006/main" mc:Ignorable="xr">
  <s:authors>
    <s:author>tc={39AEAD76-A303-A778-A7F8-A7E42B478EB7}</s:author>
    <s:author>tc={DE869F98-8D81-7CE4-C70B-64760D6B09AA}</s:author>
    <s:author>tc={F8E83202-DB63-7DEA-EF14-E5F630372DA2}</s:author>
  </s:authors>
  <s:commentList>
    <s:comment ref="D76" authorId="0" xr:uid="{39AEAD76-A303-A778-A7F8-A7E42B478EB7}">
      <s:text>
        <s:r>
          <s:rPr>
            <s:rFont val="Tahoma"/>
            <s:b val="1"/>
            <s:sz val="9"/>
          </s:rPr>
          <s:t xml:space="preserve">Центр Информационных Технологий:</s:t>
        </s:r>
        <s:r>
          <s:rPr>
            <s:rFont val="Tahoma"/>
            <s:sz val="9"/>
          </s:rPr>
          <s:t xml:space="preserve">
Версия 1.7.4
</s:t>
        </s:r>
      </s:text>
    </s:comment>
    <s:comment ref="E76" authorId="1" xr:uid="{DE869F98-8D81-7CE4-C70B-64760D6B09AA}">
      <s:text>
        <s:r>
          <s:rPr>
            <s:rFont val="Tahoma"/>
            <s:b val="1"/>
            <s:sz val="9"/>
          </s:rPr>
          <s:t xml:space="preserve">Центр Информационных Технологий:</s:t>
        </s:r>
        <s:r>
          <s:rPr>
            <s:rFont val="Tahoma"/>
            <s:sz val="9"/>
          </s:rPr>
          <s:t xml:space="preserve">
Версия 1.7.3
</s:t>
        </s:r>
      </s:text>
    </s:comment>
    <s:comment ref="F76" authorId="2" xr:uid="{F8E83202-DB63-7DEA-EF14-E5F630372DA2}">
      <s:text>
        <s:r>
          <s:rPr>
            <s:rFont val="Tahoma"/>
            <s:b val="1"/>
            <s:sz val="9"/>
          </s:rPr>
          <s:t xml:space="preserve">Центр Информационных Технологий:</s:t>
        </s:r>
        <s:r>
          <s:rPr>
            <s:rFont val="Tahoma"/>
            <s:sz val="9"/>
          </s:rPr>
          <s:t xml:space="preserve">
Версия 1.7.3
</s:t>
        </s:r>
      </s:text>
    </s:comment>
  </s:commentList>
</s:comments>
</file>

<file path=xl/comments2.xml><?xml version="1.0" encoding="utf-8"?>
<s:comments xmlns:mc="http://schemas.openxmlformats.org/markup-compatibility/2006" xmlns:xr="http://schemas.microsoft.com/office/spreadsheetml/2014/revision" xmlns:s="http://schemas.openxmlformats.org/spreadsheetml/2006/main" mc:Ignorable="xr">
  <s:authors>
    <s:author>tc={0DBC2CE2-1C51-CAB9-C9A3-A8EF064218FB}</s:author>
  </s:authors>
  <s:commentList>
    <s:comment ref="E76" authorId="0" xr:uid="{0DBC2CE2-1C51-CAB9-C9A3-A8EF064218FB}">
      <s:text>
        <s:r>
          <s:rPr>
            <s:rFont val="Tahoma"/>
            <s:b val="1"/>
            <s:sz val="9"/>
          </s:rPr>
          <s:t xml:space="preserve">Центр Информационных Технологий:</s:t>
        </s:r>
        <s:r>
          <s:rPr>
            <s:rFont val="Tahoma"/>
            <s:sz val="9"/>
          </s:rPr>
          <s:t xml:space="preserve">
Версия 1.7.3
</s:t>
        </s:r>
      </s:text>
    </s:comment>
  </s:commentList>
</s:comments>
</file>

<file path=xl/metadata.xml><?xml version="1.0" encoding="utf-8"?>
<s:metadata xmlns:xda="http://schemas.microsoft.com/office/spreadsheetml/2017/dynamicarray" xmlns:s="http://schemas.openxmlformats.org/spreadsheetml/2006/main">
  <s:metadataTypes count="1">
    <s:metadataType name="XLDAPR" minSupportedVersion="120000" copy="1" pasteAll="1" pasteValues="1" merge="1" splitFirst="1" rowColShift="1" clearFormats="1" clearComments="1" assign="1" coerce="1" cellMeta="1"/>
  </s:metadataTypes>
  <s:futureMetadata name="XLDAPR" count="1">
    <s:bk>
      <s:extLst>
        <s:ext uri="{bdbb8cdc-fa1e-496e-a857-3c3f30c029c3}">
          <xda:dynamicArrayProperties fDynamic="1" fCollapsed="0"/>
        </s:ext>
      </s:extLst>
    </s:bk>
  </s:futureMetadata>
  <s:cellMetadata count="1">
    <s:bk>
      <s:rc t="1" v="0"/>
    </s:bk>
  </s:cellMetadata>
</s:metadata>
</file>

<file path=xl/sharedStrings.xml><?xml version="1.0" encoding="utf-8"?>
<s:sst xmlns:s="http://schemas.openxmlformats.org/spreadsheetml/2006/main" count="124" uniqueCount="124">
  <s:si>
    <s:t xml:space="preserve">№ с/у</s:t>
  </s:si>
  <s:si>
    <s:t xml:space="preserve">Версия базы</s:t>
  </s:si>
  <s:si>
    <s:t xml:space="preserve">ПИ №</s:t>
  </s:si>
  <s:si>
    <s:t xml:space="preserve">Дата последнего обновления</s:t>
  </s:si>
  <s:si>
    <s:t>Адрес</s:t>
  </s:si>
  <s:si>
    <s:t xml:space="preserve">Дата резервной копии</s:t>
  </s:si>
  <s:si>
    <s:t xml:space="preserve">Дата проверки</s:t>
  </s:si>
  <s:si>
    <s:t xml:space="preserve">IP Адрес</s:t>
  </s:si>
  <s:si>
    <s:t>Архивация</s:t>
  </s:si>
  <s:si>
    <s:t xml:space="preserve">Расположение базы </s:t>
  </s:si>
  <s:si>
    <s:t>1.7.7.3964</s:t>
  </s:si>
  <s:si>
    <s:t xml:space="preserve">г. Вологда, ул. Ленинградская 71Б</s:t>
  </s:si>
  <s:si>
    <s:t>Ежедневно</s:t>
  </s:si>
  <s:si>
    <s:t>172.23.6.2</s:t>
  </s:si>
  <s:si>
    <s:t>C:\Database\MAGISTRACY.FDB</s:t>
  </s:si>
  <s:si>
    <s:t>172.23.6.18</s:t>
  </s:si>
  <s:si>
    <s:t>172.23.6.34</s:t>
  </s:si>
  <s:si>
    <s:t>+</s:t>
  </s:si>
  <s:si>
    <s:t>172.23.6.50</s:t>
  </s:si>
  <s:si>
    <s:t>172.23.6.66</s:t>
  </s:si>
  <s:si>
    <s:t>172.23.6.82</s:t>
  </s:si>
  <s:si>
    <s:t>172.23.6.98</s:t>
  </s:si>
  <s:si>
    <s:t>172.23.6.114</s:t>
  </s:si>
  <s:si>
    <s:t>172.23.6.130</s:t>
  </s:si>
  <s:si>
    <s:t>172.23.6.146</s:t>
  </s:si>
  <s:si>
    <s:t>172.23.6.162</s:t>
  </s:si>
  <s:si>
    <s:t>172.23.6.178</s:t>
  </s:si>
  <s:si>
    <s:t>172.23.6.194</s:t>
  </s:si>
  <s:si>
    <s:t xml:space="preserve">г. Череповец, ул. Металлургов ,42</s:t>
  </s:si>
  <s:si>
    <s:t>172.23.2.2</s:t>
  </s:si>
  <s:si>
    <s:t>D:\Database\su14\MAGISTRACY.FDB</s:t>
  </s:si>
  <s:si>
    <s:t>D:\Database\su15\MAGISTRACY.FDB</s:t>
  </s:si>
  <s:si>
    <s:t>D:\Database\su16\MAGISTRACY.FDB</s:t>
  </s:si>
  <s:si>
    <s:t>D:\Database\su17\MAGISTRACY.FDB</s:t>
  </s:si>
  <s:si>
    <s:t>D:\Database\su18\MAGISTRACY.FDB</s:t>
  </s:si>
  <s:si>
    <s:t>D:\Database\su19\MAGISTRACY.FDB</s:t>
  </s:si>
  <s:si>
    <s:t>D:\Database\su20\MAGISTRACY.FDB</s:t>
  </s:si>
  <s:si>
    <s:t>D:\Database\su21\MAGISTRACY.FDB</s:t>
  </s:si>
  <s:si>
    <s:t>D:\Database\su22\MAGISTRACY.FDB</s:t>
  </s:si>
  <s:si>
    <s:t>D:\Database\su23\MAGISTRACY.FDB</s:t>
  </s:si>
  <s:si>
    <s:t>D:\Database\su24\MAGISTRACY.FDB</s:t>
  </s:si>
  <s:si>
    <s:t>D:\Database\su25\25\MAGISTRACY.FDB</s:t>
  </s:si>
  <s:si>
    <s:t xml:space="preserve">г. Великий Устюг, ул. Щелкунова, д. 35</s:t>
  </s:si>
  <s:si>
    <s:t>172.23.2.130</s:t>
  </s:si>
  <s:si>
    <s:t>172.23.2.136</s:t>
  </s:si>
  <s:si>
    <s:t>172.23.2.141</s:t>
  </s:si>
  <s:si>
    <s:t>172.23.6.210</s:t>
  </s:si>
  <s:si>
    <s:t>172.23.6.226</s:t>
  </s:si>
  <s:si>
    <s:t xml:space="preserve">г. Вытегра, Архангелький тракт, 21</s:t>
  </s:si>
  <s:si>
    <s:t>172.23.2.169</s:t>
  </s:si>
  <s:si>
    <s:t>172.23.2.163</s:t>
  </s:si>
  <s:si>
    <s:t xml:space="preserve">г. Грязовец, Соколовская,34</s:t>
  </s:si>
  <s:si>
    <s:t>172.23.2.198</s:t>
  </s:si>
  <s:si>
    <s:t>172.23.2.201</s:t>
  </s:si>
  <s:si>
    <s:t xml:space="preserve">г. Сокол, ул. Советская, 96</s:t>
  </s:si>
  <s:si>
    <s:t xml:space="preserve">г. Сокол, ул. Суворова, 7</s:t>
  </s:si>
  <s:si>
    <s:t>172.23.3.10</s:t>
  </s:si>
  <s:si>
    <s:t>172.23.2.229</s:t>
  </s:si>
  <s:si>
    <s:t xml:space="preserve">п. Шексна, ул. Шлюзовая, 1</s:t>
  </s:si>
  <s:si>
    <s:t>172.23.3.35</s:t>
  </s:si>
  <s:si>
    <s:t>172.23.3.34</s:t>
  </s:si>
  <s:si>
    <s:t xml:space="preserve">г. Бабаево, ул. Свердлова, д.54б</s:t>
  </s:si>
  <s:si>
    <s:t>172.23.3.67</s:t>
  </s:si>
  <s:si>
    <s:t xml:space="preserve">с.им. Бабушкина, ул. Бабушкина, д. 48</s:t>
  </s:si>
  <s:si>
    <s:t>172.23.3.100</s:t>
  </s:si>
  <s:si>
    <s:t xml:space="preserve">г. Белозерск, Со-ветский пр., 56</s:t>
  </s:si>
  <s:si>
    <s:t>172.23.3.130</s:t>
  </s:si>
  <s:si>
    <s:t xml:space="preserve">с. Липин Бор, пер. Парковый, д. 11</s:t>
  </s:si>
  <s:si>
    <s:t>172.23.3.162</s:t>
  </s:si>
  <s:si>
    <s:t xml:space="preserve">с. Верховажье, ул. Стебенева, 26</s:t>
  </s:si>
  <s:si>
    <s:t>172.23.3.195</s:t>
  </s:si>
  <s:si>
    <s:t xml:space="preserve">п. Вожега, ул. Октябрьская, 42 А</s:t>
  </s:si>
  <s:si>
    <s:t>172.23.3.228</s:t>
  </s:si>
  <s:si>
    <s:t xml:space="preserve">п. Кадуй, ул. Октябрьская, 22</s:t>
  </s:si>
  <s:si>
    <s:t>172.23.4.2</s:t>
  </s:si>
  <s:si>
    <s:t>C:\Database\1\MAGISTRACY.FDB</s:t>
  </s:si>
  <s:si>
    <s:t xml:space="preserve">г. Кириллов, ул. Победы, д. 22, пом. 25</s:t>
  </s:si>
  <s:si>
    <s:t>172.23.4.35</s:t>
  </s:si>
  <s:si>
    <s:t xml:space="preserve">с. Кич-Городок, ул. Первомайская, д. 20</s:t>
  </s:si>
  <s:si>
    <s:t>172.23.4.69</s:t>
  </s:si>
  <s:si>
    <s:t xml:space="preserve">с. Шуйское, ул. Советская, д. 23 а</s:t>
  </s:si>
  <s:si>
    <s:t>172.23.4.98</s:t>
  </s:si>
  <s:si>
    <s:t xml:space="preserve">г. Никольск, пер. Заводской, д. 1 В</s:t>
  </s:si>
  <s:si>
    <s:t>172.23.4.130</s:t>
  </s:si>
  <s:si>
    <s:t xml:space="preserve">с. Нюксеница, Механизаторов, 17</s:t>
  </s:si>
  <s:si>
    <s:t>172.23.4.169</s:t>
  </s:si>
  <s:si>
    <s:t>D:\Database\MAGISTRACY.FDB</s:t>
  </s:si>
  <s:si>
    <s:t xml:space="preserve">с. Сямжа, ул. Западная,4</s:t>
  </s:si>
  <s:si>
    <s:t>172.23.4.194</s:t>
  </s:si>
  <s:si>
    <s:t xml:space="preserve">с. Тарногский Городок, Совет-ская, д. 3</s:t>
  </s:si>
  <s:si>
    <s:t>172.23.4.230</s:t>
  </s:si>
  <s:si>
    <s:t xml:space="preserve">г. Тотьма, ул. Садовая, 45</s:t>
  </s:si>
  <s:si>
    <s:t>172.23.5.4</s:t>
  </s:si>
  <s:si>
    <s:t xml:space="preserve">г. Устюжна, пер.Терешковой,5а</s:t>
  </s:si>
  <s:si>
    <s:t>172.23.5.34</s:t>
  </s:si>
  <s:si>
    <s:t xml:space="preserve">с. Устье, Профсоюзная, 3</s:t>
  </s:si>
  <s:si>
    <s:t>172.23.5.66</s:t>
  </s:si>
  <s:si>
    <s:t xml:space="preserve">г. Харовск, ул. Ленинград-ская,41</s:t>
  </s:si>
  <s:si>
    <s:t>172.23.5.98</s:t>
  </s:si>
  <s:si>
    <s:t xml:space="preserve">п. Чагода, ул. Стекольщи-ков, 7а</s:t>
  </s:si>
  <s:si>
    <s:t>172.23.5.130</s:t>
  </s:si>
  <s:si>
    <s:t>172.23.6.242</s:t>
  </s:si>
  <s:si>
    <s:t>172.23.7.2</s:t>
  </s:si>
  <s:si>
    <s:t>172.23.7.18</s:t>
  </s:si>
  <s:si>
    <s:t>E:\Amirsbase\05su\MAGISTRACY.FDB</s:t>
  </s:si>
  <s:si>
    <s:t>172.23.7.34</s:t>
  </s:si>
  <s:si>
    <s:t>172.23.7.50</s:t>
  </s:si>
  <s:si>
    <s:t>№</s:t>
  </s:si>
  <s:si>
    <s:t>1</s:t>
  </s:si>
  <s:si>
    <s:t>2</s:t>
  </s:si>
  <s:si>
    <s:t>3</s:t>
  </s:si>
  <s:si>
    <s:t>4</s:t>
  </s:si>
  <s:si>
    <s:t>5</s:t>
  </s:si>
  <s:si>
    <s:t>6</s:t>
  </s:si>
  <s:si>
    <s:t>7</s:t>
  </s:si>
  <s:si>
    <s:t>8</s:t>
  </s:si>
  <s:si>
    <s:t>9</s:t>
  </s:si>
  <s:si>
    <s:t>10</s:t>
  </s:si>
  <s:si>
    <s:t>Патч</s:t>
  </s:si>
  <s:si>
    <s:t>Дата</s:t>
  </s:si>
  <s:si>
    <s:t>Готовность</s:t>
  </s:si>
  <s:si>
    <s:t>3.9.0.5</s:t>
  </s:si>
  <s:si>
    <s:t xml:space="preserve"> </s:t>
  </s:si>
  <s:si>
    <s:t>ДОДМС</s:t>
  </s:si>
  <s:si>
    <s:t>172.23.2.226</s:t>
  </s:si>
  <s:si>
    <s:t>f:\Database\MAGISTRACY.FDB</s:t>
  </s:si>
  <s:si>
    <s:t>1.7.9.5516</s:t>
  </s:si>
  <s:si>
    <s:t>0</s:t>
  </s:si>
  <s:si>
    <s:t>1.7.8.3964</s:t>
  </s:si>
  <s:si>
    <s:r>
      <s:rPr>
        <s:b val="1"/>
        <s:vertAlign val="baseline"/>
        <s:scheme val="minor"/>
      </s:rPr>
      <s:t>1.7.8.4387</s:t>
    </s:r>
  </s:si>
  <s:si>
    <s:t>11</s:t>
  </s:si>
  <s:si>
    <s:t>17</s:t>
  </s:si>
  <s:si>
    <s:t>E:\Database\MAGISTRACY.FDB</s:t>
  </s:si>
  <s:si>
    <s:r>
      <s:rPr>
        <s:vertAlign val="baseline"/>
        <s:scheme val="minor"/>
      </s:rPr>
      <s:t>1.7.8.4387</s:t>
    </s:r>
  </s:si>
  <s:si>
    <s:t>=АЛИСАПРО(""; B1:B70)</s:t>
  </s:si>
  <s:si>
    <s:t>=АЛИСАПРО(""; B2:B70)</s:t>
  </s:si>
  <s:si>
    <s:t>=АЛИСАПРО(""; B2:B69)</s:t>
  </s:si>
  <s:si>
    <s:t>=АЛИСАПРО("посчитай количевсто каждой версии"; B2:B69)</s:t>
  </s:si>
  <s:si>
    <s:t>=АЛИСАПРО("посчитай количевсто каждой версии в диапазоне "; B2:B69)</s:t>
  </s:si>
  <s:si>
    <s:t>=АЛИСАПРО("Что такое Яндекс Документы?")</s:t>
  </s:si>
  <s:si>
    <s:t>=СЧЁТ(B2:B69</s:t>
  </s:si>
  <s:si>
    <s:t>=СЧЁТ(B2:B690</s:t>
  </s:si>
  <s:si>
    <s:t>=СЧЁТ(B2:B69)</s:t>
  </s:si>
  <s:si>
    <s:t>=СЧЁТЕСЛИ(B2:B69</s:t>
  </s:si>
  <s:si>
    <s:t>=СЧЁТ(B2)</s:t>
  </s:si>
  <s:si>
    <s:t>=СЧЁТ(B2:</s:t>
  </s:si>
  <s:si>
    <s:t>=СЧЁТЕСЛИ(B2:B69;B2:B69)</s:t>
  </s:si>
  <s:si>
    <s:t>=СЧЁТЕСЛИ(B2:B69,B2:B69)</s:t>
  </s:si>
  <s:si>
    <s:t>=СЧЁТ(A2:A100)-СУММПРОИЗВ(СЧЁТЕСЛИ(A2:A100,A2:A100)-1)</s:t>
  </s:si>
  <s:si>
    <s:t>=СЧЁТ(B39:B69)-СУММПРОИЗВ(СЧЁТЕСЛИ(B39:B69,B39:B69)-1)</s:t>
  </s:si>
  <s:si>
    <s:t>=СЧЁТ(B2:B69)-СУММПРОИЗВ(СЧЁТЕСЛИ(B2:B69,B2:B69)-1)</s:t>
  </s:si>
  <s:si>
    <s:t>=УНИК(B2:B69)</s:t>
  </s:si>
  <s:si>
    <s:t>=СЧЁТЕСЛИ($A$2:$A$69; B2)</s:t>
  </s:si>
  <s:si>
    <s:t>=подСЧЁТЕСЛИ($A$2:$A$69; B2)</s:t>
  </s:si>
  <s:si>
    <s:t>=COUNTIF(B2:B69;B2:B69)</s:t>
  </s:si>
  <s:si>
    <s:t>1.7.9.</s:t>
  </s:si>
  <s:si>
    <s:t>1.7.7.</s:t>
  </s:si>
  <s:si>
    <s:r>
      <s:rPr>
        <s:rFont val="Calibri, sans-serif"/>
        <s:color rgb="FF000000"/>
        <s:sz val="11"/>
        <s:vertAlign val="baseline"/>
        <s:scheme val="minor"/>
      </s:rPr>
      <s:t>1.7.8.</s:t>
    </s:r>
  </s:si>
  <s:si>
    <s:r>
      <s:rPr>
        <s:color rgb="FF000000"/>
        <s:sz val="11"/>
        <s:vertAlign val="baseline"/>
        <s:scheme val="minor"/>
      </s:rPr>
      <s:t>1.7.8.</s:t>
    </s:r>
  </s:si>
  <s:si>
    <s:t>1.7.6</s:t>
  </s:si>
  <s:si>
    <s:t>1.7.7</s:t>
  </s:si>
  <s:si>
    <s:r>
      <s:rPr>
        <s:color rgb="FF000000"/>
        <s:sz val="11"/>
        <s:vertAlign val="baseline"/>
        <s:scheme val="minor"/>
      </s:rPr>
      <s:t>1.7.8</s:t>
    </s:r>
  </s:si>
  <s:si>
    <s:t>1.7.9</s:t>
  </s:si>
  <s:si>
    <s:t>количество</s:t>
  </s:si>
  <s:si>
    <s:t>16</s:t>
  </s:si>
  <s:si>
    <s:t>D:\Database\1MAGISTRACY.FDB</s:t>
  </s:si>
</s:sst>
</file>

<file path=xl/styles.xml><?xml version="1.0" encoding="utf-8"?>
<s:styleSheet xmlns:vyd="http://volga.yandex.com/schemas/document/model" xmlns:mc="http://schemas.openxmlformats.org/markup-compatibility/2006" xmlns:x14="http://schemas.microsoft.com/office/spreadsheetml/2009/9/main" xmlns:x14ac="http://schemas.microsoft.com/office/spreadsheetml/2009/9/ac" xmlns:x16r2="http://schemas.microsoft.com/office/spreadsheetml/2015/02/main" xmlns:s="http://schemas.openxmlformats.org/spreadsheetml/2006/main" mc:Ignorable="x14ac x16r2">
  <s:numFmts count="4">
    <s:numFmt numFmtId="160" formatCode="dd/mm/yyyy"/>
    <s:numFmt numFmtId="164" formatCode="dd\.mm\.yyyy"/>
    <s:numFmt numFmtId="165" formatCode="General"/>
    <s:numFmt numFmtId="166" formatCode="0.0"/>
  </s:numFmts>
  <s:fonts count="18">
    <s:font>
      <s:name val="Calibri"/>
      <s:color theme="1"/>
      <s:sz val="11"/>
      <s:scheme val="minor"/>
    </s:font>
    <s:font>
      <s:name val="Calibri"/>
      <s:color rgb="FF9C0006"/>
      <s:sz val="11"/>
      <s:scheme val="minor"/>
    </s:font>
    <s:font>
      <s:name val="Calibri"/>
      <s:color rgb="FF006100"/>
      <s:sz val="11"/>
      <s:scheme val="minor"/>
    </s:font>
    <s:font>
      <s:name val="Calibri"/>
      <s:color rgb="FF9C6500"/>
      <s:sz val="11"/>
      <s:scheme val="minor"/>
    </s:font>
    <s:font>
      <s:name val="Calibri"/>
      <s:b val="1"/>
      <s:color rgb="FFFA7D00"/>
      <s:sz val="11"/>
      <s:scheme val="minor"/>
    </s:font>
    <s:font>
      <s:name val="Calibri"/>
      <s:b val="1"/>
      <s:color theme="0"/>
      <s:sz val="11"/>
      <s:scheme val="minor"/>
    </s:font>
    <s:font>
      <s:name val="Calibri"/>
      <s:b val="1"/>
      <s:color rgb="FF3F3F3F"/>
      <s:sz val="11"/>
      <s:scheme val="minor"/>
    </s:font>
    <s:font>
      <s:name val="Calibri"/>
      <s:color rgb="FF3F3F76"/>
      <s:sz val="11"/>
      <s:scheme val="minor"/>
    </s:font>
    <s:font>
      <s:name val="Calibri"/>
      <s:color theme="0"/>
      <s:sz val="11"/>
      <s:scheme val="minor"/>
    </s:font>
    <s:font>
      <s:name val="Calibri"/>
      <s:color indexed="2"/>
      <s:sz val="11"/>
      <s:scheme val="minor"/>
    </s:font>
    <s:font>
      <s:name val="Arial"/>
      <s:color theme="1"/>
      <s:sz val="11"/>
    </s:font>
    <s:font>
      <s:name val="Calibri"/>
      <s:b val="1"/>
      <s:color theme="1"/>
      <s:sz val="11"/>
      <s:scheme val="minor"/>
    </s:font>
    <s:font>
      <s:name val="Calibri"/>
      <s:sz val="11"/>
    </s:font>
    <s:font>
      <s:color theme="1"/>
    </s:font>
    <s:font>
      <s:name val="Calibri"/>
      <s:color rgb="FF000000"/>
      <s:sz val="11"/>
      <s:scheme val="minor"/>
    </s:font>
    <s:font>
      <s:name val="Calibri"/>
      <s:b val="0"/>
      <s:color rgb="FF000000"/>
      <s:sz val="11"/>
      <s:scheme val="minor"/>
    </s:font>
    <s:font>
      <s:name val="Calibri"/>
      <s:b val="1"/>
      <s:color rgb="FF000000"/>
      <s:sz val="11"/>
      <s:scheme val="minor"/>
    </s:font>
    <s:font>
      <s:name val="YS Text"/>
      <s:b val="1"/>
      <s:color rgb="FF333333"/>
      <s:sz val="12"/>
    </s:font>
  </s:fonts>
  <s:fills count="29">
    <s:fill>
      <s:patternFill patternType="none"/>
    </s:fill>
    <s:fill>
      <s:patternFill patternType="gray125"/>
    </s:fill>
    <s:fill>
      <s:patternFill patternType="solid">
        <s:fgColor rgb="FFFFC7CE"/>
        <s:bgColor rgb="FFFFC7CE"/>
      </s:patternFill>
    </s:fill>
    <s:fill>
      <s:patternFill patternType="solid">
        <s:fgColor rgb="FFC6EFCE"/>
        <s:bgColor rgb="FFC6EFCE"/>
      </s:patternFill>
    </s:fill>
    <s:fill>
      <s:patternFill patternType="solid">
        <s:fgColor rgb="FFFFEB9C"/>
        <s:bgColor rgb="FFFFEB9C"/>
      </s:patternFill>
    </s:fill>
    <s:fill>
      <s:patternFill patternType="solid">
        <s:fgColor rgb="FFF2F2F2"/>
        <s:bgColor rgb="FFF2F2F2"/>
      </s:patternFill>
    </s:fill>
    <s:fill>
      <s:patternFill patternType="solid">
        <s:fgColor rgb="FFA5A5A5"/>
        <s:bgColor rgb="FFA5A5A5"/>
      </s:patternFill>
    </s:fill>
    <s:fill>
      <s:patternFill patternType="solid">
        <s:fgColor indexed="47"/>
        <s:bgColor indexed="47"/>
      </s:patternFill>
    </s:fill>
    <s:fill>
      <s:patternFill patternType="solid">
        <s:fgColor theme="4" tint="0.6"/>
        <s:bgColor theme="4" tint="0.6"/>
      </s:patternFill>
    </s:fill>
    <s:fill>
      <s:patternFill patternType="solid">
        <s:fgColor theme="5" tint="0.6"/>
        <s:bgColor theme="5" tint="0.6"/>
      </s:patternFill>
    </s:fill>
    <s:fill>
      <s:patternFill patternType="solid">
        <s:fgColor theme="6" tint="0.6"/>
        <s:bgColor theme="6" tint="0.6"/>
      </s:patternFill>
    </s:fill>
    <s:fill>
      <s:patternFill patternType="solid">
        <s:fgColor theme="5" tint="0.8"/>
        <s:bgColor theme="5" tint="0.8"/>
      </s:patternFill>
    </s:fill>
    <s:fill>
      <s:patternFill patternType="solid">
        <s:fgColor theme="5" tint="0.4"/>
        <s:bgColor theme="5" tint="0.4"/>
      </s:patternFill>
    </s:fill>
    <s:fill>
      <s:patternFill patternType="solid">
        <s:fgColor theme="7" tint="0.8"/>
        <s:bgColor theme="7" tint="0.8"/>
      </s:patternFill>
    </s:fill>
    <s:fill>
      <s:patternFill patternType="solid">
        <s:fgColor theme="5"/>
        <s:bgColor theme="5"/>
      </s:patternFill>
    </s:fill>
    <s:fill>
      <s:patternFill patternType="none"/>
    </s:fill>
    <s:fill>
      <s:patternFill patternType="solid">
        <s:fgColor theme="9"/>
        <s:bgColor theme="9"/>
      </s:patternFill>
    </s:fill>
    <s:fill>
      <s:patternFill patternType="solid">
        <s:fgColor indexed="26"/>
        <s:bgColor indexed="26"/>
      </s:patternFill>
    </s:fill>
    <s:fill>
      <s:patternFill patternType="solid">
        <s:fgColor rgb="FFFFFF00"/>
        <s:bgColor rgb="FFFFFF00"/>
      </s:patternFill>
    </s:fill>
    <s:fill>
      <s:patternFill patternType="solid">
        <s:fgColor rgb="FFFFC062"/>
        <s:bgColor rgb="FFFFC062"/>
      </s:patternFill>
    </s:fill>
    <s:fill>
      <s:patternFill patternType="solid">
        <s:fgColor rgb="FFFF8800"/>
        <s:bgColor rgb="FFFF8800"/>
      </s:patternFill>
    </s:fill>
    <s:fill>
      <s:patternFill patternType="solid">
        <s:fgColor rgb="FFFF6964"/>
        <s:bgColor rgb="FFFF6964"/>
      </s:patternFill>
    </s:fill>
    <s:fill>
      <s:patternFill patternType="solid">
        <s:fgColor rgb="FF03FF00"/>
        <s:bgColor rgb="FF03FF00"/>
      </s:patternFill>
    </s:fill>
    <s:fill>
      <s:patternFill patternType="solid">
        <s:fgColor rgb="FF25BB5C"/>
        <s:bgColor rgb="FF25BB5C"/>
      </s:patternFill>
    </s:fill>
    <s:fill>
      <s:patternFill patternType="solid">
        <s:fgColor rgb="FF7EDD9C"/>
        <s:bgColor rgb="FF7EDD9C"/>
      </s:patternFill>
    </s:fill>
    <s:fill>
      <s:patternFill patternType="solid">
        <s:fgColor rgb="FFFF0000"/>
        <s:bgColor rgb="FFFF0000"/>
      </s:patternFill>
    </s:fill>
    <s:fill>
      <s:patternFill patternType="solid">
        <s:fgColor rgb="FFFFFFFF"/>
        <s:bgColor rgb="FFFFFFFF"/>
      </s:patternFill>
    </s:fill>
    <s:fill>
      <s:patternFill patternType="solid">
        <s:fgColor rgb="FFFFFFFF"/>
      </s:patternFill>
    </s:fill>
    <s:fill>
      <s:patternFill patternType="solid">
        <s:fgColor rgb="FF00FF82"/>
        <s:bgColor rgb="FF00FF82"/>
      </s:patternFill>
    </s:fill>
  </s:fills>
  <s:borders count="13">
    <s:border>
      <s:left style="none"/>
      <s:right style="none"/>
      <s:top style="none"/>
      <s:bottom style="none"/>
      <s:diagonal style="none"/>
    </s:border>
    <s:border>
      <s:left style="thin">
        <s:color rgb="FF7F7F7F"/>
      </s:left>
      <s:right style="thin">
        <s:color rgb="FF7F7F7F"/>
      </s:right>
      <s:top style="thin">
        <s:color rgb="FF7F7F7F"/>
      </s:top>
      <s:bottom style="thin">
        <s:color rgb="FF7F7F7F"/>
      </s:bottom>
      <s:diagonal style="none"/>
    </s:border>
    <s:border>
      <s:left style="double">
        <s:color rgb="FF3F3F3F"/>
      </s:left>
      <s:right style="double">
        <s:color rgb="FF3F3F3F"/>
      </s:right>
      <s:top style="double">
        <s:color rgb="FF3F3F3F"/>
      </s:top>
      <s:bottom style="double">
        <s:color rgb="FF3F3F3F"/>
      </s:bottom>
      <s:diagonal style="none"/>
    </s:border>
    <s:border>
      <s:left style="thin">
        <s:color rgb="FF3F3F3F"/>
      </s:left>
      <s:right style="thin">
        <s:color rgb="FF3F3F3F"/>
      </s:right>
      <s:top style="thin">
        <s:color rgb="FF3F3F3F"/>
      </s:top>
      <s:bottom style="thin">
        <s:color rgb="FF3F3F3F"/>
      </s:bottom>
      <s:diagonal style="none"/>
    </s:border>
    <s:border>
      <s:left style="thin">
        <s:color rgb="FFB2B2B2"/>
      </s:left>
      <s:right style="thin">
        <s:color rgb="FFB2B2B2"/>
      </s:right>
      <s:top style="thin">
        <s:color rgb="FFB2B2B2"/>
      </s:top>
      <s:bottom style="thin">
        <s:color rgb="FFB2B2B2"/>
      </s:bottom>
      <s:diagonal style="none"/>
    </s:border>
    <s:border>
      <s:left style="thin">
        <s:color rgb="FF7F7F7F"/>
      </s:left>
      <s:right style="none"/>
      <s:top style="none"/>
      <s:bottom style="none"/>
      <s:diagonal style="none"/>
    </s:border>
    <s:border>
      <s:left style="thin">
        <s:color theme="1"/>
      </s:left>
      <s:right style="thin">
        <s:color theme="1"/>
      </s:right>
      <s:top style="thin">
        <s:color theme="1"/>
      </s:top>
      <s:bottom style="thin">
        <s:color theme="1"/>
      </s:bottom>
      <s:diagonal style="none"/>
    </s:border>
    <s:border>
      <s:left style="thin">
        <s:color auto="1"/>
      </s:left>
      <s:right style="thin">
        <s:color auto="1"/>
      </s:right>
      <s:top style="thin">
        <s:color auto="1"/>
      </s:top>
      <s:bottom style="none"/>
      <s:diagonal style="none"/>
    </s:border>
    <s:border>
      <s:left style="thin">
        <s:color theme="6"/>
      </s:left>
      <s:right style="thin">
        <s:color theme="6"/>
      </s:right>
      <s:top style="thin">
        <s:color theme="6"/>
      </s:top>
      <s:bottom style="thin">
        <s:color theme="6"/>
      </s:bottom>
      <s:diagonal style="none"/>
      <s:vertical style="thin">
        <s:color theme="6"/>
      </s:vertical>
      <s:horizontal style="thin">
        <s:color theme="6"/>
      </s:horizontal>
    </s:border>
    <s:border>
      <s:left style="thin"/>
      <s:right style="thin"/>
      <s:top style="thin"/>
      <s:bottom style="thin"/>
      <s:diagonal style="none"/>
    </s:border>
    <s:border>
      <s:left style="thin"/>
      <s:right style="thin"/>
      <s:top style="thin"/>
      <s:bottom style="thin"/>
    </s:border>
    <s:border>
      <s:left/>
      <s:right/>
      <s:top/>
      <s:bottom/>
    </s:border>
    <s:border>
      <s:left/>
      <s:right/>
      <s:top/>
      <s:bottom/>
      <s:diagonal style="none"/>
    </s:border>
  </s:borders>
  <s:cellStyleXfs count="18">
    <s:xf numFmtId="0" fontId="0" fillId="0" borderId="0" applyNumberFormat="1" applyFont="1" applyFill="1" applyBorder="1"/>
    <s:xf numFmtId="0" fontId="1" fillId="2" borderId="0" applyNumberFormat="0" applyFont="1" applyFill="1" applyBorder="0"/>
    <s:xf numFmtId="0" fontId="2" fillId="3" borderId="0" applyNumberFormat="0" applyFont="1" applyFill="1" applyBorder="0"/>
    <s:xf numFmtId="0" fontId="3" fillId="4" borderId="0" applyNumberFormat="0" applyFont="1" applyFill="1" applyBorder="0"/>
    <s:xf numFmtId="0" fontId="4" fillId="5" borderId="1" applyNumberFormat="0" applyFont="1" applyFill="1" applyBorder="1"/>
    <s:xf numFmtId="0" fontId="5" fillId="6" borderId="2" applyNumberFormat="0" applyFont="1" applyFill="1" applyBorder="1"/>
    <s:xf numFmtId="0" fontId="6" fillId="5" borderId="3" applyNumberFormat="0" applyFont="1" applyFill="1" applyBorder="1"/>
    <s:xf numFmtId="0" fontId="7" fillId="7" borderId="1" applyNumberFormat="0" applyFont="1" applyFill="1" applyBorder="1"/>
    <s:xf numFmtId="0" fontId="0" fillId="8" borderId="0" applyNumberFormat="0" applyFont="1" applyFill="1" applyBorder="0"/>
    <s:xf numFmtId="0" fontId="0" fillId="9" borderId="0" applyNumberFormat="0" applyFont="1" applyFill="1" applyBorder="0"/>
    <s:xf numFmtId="0" fontId="0" fillId="10" borderId="0" applyNumberFormat="0" applyFont="1" applyFill="1" applyBorder="0"/>
    <s:xf numFmtId="0" fontId="0" fillId="11" borderId="0" applyNumberFormat="0" applyFont="1" applyFill="1" applyBorder="0"/>
    <s:xf numFmtId="0" fontId="8" fillId="12" borderId="0" applyNumberFormat="0" applyFont="1" applyFill="1" applyBorder="0"/>
    <s:xf numFmtId="0" fontId="0" fillId="13" borderId="0" applyNumberFormat="0" applyFont="1" applyFill="1" applyBorder="0"/>
    <s:xf numFmtId="0" fontId="8" fillId="14" borderId="0" applyNumberFormat="0" applyFont="1" applyFill="1" applyBorder="0"/>
    <s:xf numFmtId="0" fontId="9" fillId="15" borderId="0" applyNumberFormat="0" applyFont="1" applyFill="0" applyBorder="0"/>
    <s:xf numFmtId="0" fontId="8" fillId="16" borderId="0" applyNumberFormat="0" applyFont="1" applyFill="1" applyBorder="0"/>
    <s:xf numFmtId="0" fontId="0" fillId="17" borderId="4" applyNumberFormat="0" applyFont="0" applyFill="1" applyBorder="1"/>
  </s:cellStyleXfs>
  <s:cellXfs count="112">
    <s:xf numFmtId="0" fontId="0" fillId="0" borderId="0" xfId="0"/>
    <s:xf numFmtId="49" fontId="0" fillId="0" borderId="0" xfId="0" applyNumberFormat="1"/>
    <s:xf numFmtId="160" fontId="0" fillId="0" borderId="0" xfId="0" applyNumberFormat="1"/>
    <s:xf numFmtId="0" fontId="0" fillId="0" borderId="0" xfId="0" applyAlignment="1">
      <s:alignment horizontal="center" mc:Ignorable="vyd"/>
    </s:xf>
    <s:xf numFmtId="0" fontId="0" fillId="0" borderId="0" xfId="0" applyAlignment="1">
      <s:alignment horizontal="left" mc:Ignorable="vyd"/>
    </s:xf>
    <s:xf numFmtId="49" fontId="10" fillId="0" borderId="0" xfId="0" applyNumberFormat="1" applyFont="1" applyAlignment="1">
      <s:alignment horizontal="center" mc:Ignorable="vyd"/>
    </s:xf>
    <s:xf numFmtId="49" fontId="0" fillId="0" borderId="0" xfId="0" applyNumberFormat="1" applyAlignment="1">
      <s:alignment horizontal="center" mc:Ignorable="vyd"/>
    </s:xf>
    <s:xf numFmtId="160" fontId="0" fillId="0" borderId="0" xfId="0" applyNumberFormat="1" applyAlignment="1">
      <s:alignment horizontal="center" mc:Ignorable="vyd"/>
    </s:xf>
    <s:xf numFmtId="49" fontId="11" fillId="0" borderId="0" xfId="0" applyNumberFormat="1" applyFont="1" applyAlignment="1">
      <s:alignment horizontal="center" mc:Ignorable="vyd"/>
    </s:xf>
    <s:xf numFmtId="49" fontId="0" fillId="0" borderId="0" xfId="0" applyNumberFormat="1" applyAlignment="1">
      <s:alignment horizontal="left" mc:Ignorable="vyd"/>
    </s:xf>
    <s:xf numFmtId="0" fontId="2" fillId="3" borderId="1" xfId="2" applyFont="1" applyFill="1" applyBorder="1" applyAlignment="1">
      <s:alignment horizontal="center" mc:Ignorable="vyd"/>
    </s:xf>
    <s:xf numFmtId="0" fontId="2" fillId="3" borderId="5" xfId="2" applyFont="1" applyFill="1" applyBorder="1" applyAlignment="1">
      <s:alignment horizontal="center" mc:Ignorable="vyd"/>
    </s:xf>
    <s:xf numFmtId="0" fontId="12" fillId="0" borderId="0" xfId="0" applyFont="1" applyAlignment="1">
      <s:alignment horizontal="center" vertical="center" mc:Ignorable="vyd"/>
    </s:xf>
    <s:xf numFmtId="0" fontId="0" fillId="0" borderId="0" xfId="0">
      <s:protection locked="1" hidden="0"/>
    </s:xf>
    <s:xf numFmtId="0" fontId="13" fillId="0" borderId="0" xfId="0" applyFont="1" applyAlignment="1">
      <s:alignment horizontal="center" mc:Ignorable="vyd"/>
    </s:xf>
    <s:xf numFmtId="0" fontId="13" fillId="0" borderId="0" xfId="0" applyFont="1" applyAlignment="1">
      <s:alignment horizontal="left" mc:Ignorable="vyd"/>
    </s:xf>
    <s:xf numFmtId="0" fontId="13" fillId="0" borderId="0" xfId="0" applyFont="1"/>
    <s:xf numFmtId="0" fontId="2" fillId="3" borderId="0" xfId="2" applyFont="1" applyFill="1" applyAlignment="1">
      <s:alignment horizontal="center" mc:Ignorable="vyd"/>
    </s:xf>
    <s:xf numFmtId="0" fontId="0" fillId="0" borderId="0" xfId="0" applyAlignment="1">
      <s:alignment horizontal="center" mc:Ignorable="vyd"/>
      <s:protection locked="1" hidden="0"/>
    </s:xf>
    <s:xf numFmtId="0" fontId="0" fillId="0" borderId="6" xfId="0" applyBorder="1"/>
    <s:xf numFmtId="0" fontId="10" fillId="0" borderId="7" xfId="0" applyFont="1" applyBorder="1" applyAlignment="1">
      <s:alignment horizontal="center" mc:Ignorable="vyd"/>
    </s:xf>
    <s:xf numFmtId="0" fontId="0" fillId="0" borderId="7" xfId="0" applyBorder="1" applyAlignment="1">
      <s:alignment horizontal="center" mc:Ignorable="vyd"/>
    </s:xf>
    <s:xf numFmtId="160" fontId="2" fillId="3" borderId="0" xfId="2" applyNumberFormat="1" applyFont="1" applyFill="1" applyAlignment="1">
      <s:alignment horizontal="center" mc:Ignorable="vyd"/>
    </s:xf>
    <s:xf numFmtId="0" fontId="3" fillId="4" borderId="0" xfId="3" applyFont="1" applyFill="1" applyAlignment="1">
      <s:alignment horizontal="center" mc:Ignorable="vyd"/>
    </s:xf>
    <s:xf numFmtId="160" fontId="3" fillId="4" borderId="0" xfId="3" applyNumberFormat="1" applyFont="1" applyFill="1" applyAlignment="1">
      <s:alignment horizontal="center" mc:Ignorable="vyd"/>
    </s:xf>
    <s:xf numFmtId="160" fontId="2" fillId="13" borderId="0" xfId="2" applyNumberFormat="1" applyFont="1" applyFill="1" applyAlignment="1">
      <s:alignment horizontal="center" mc:Ignorable="vyd"/>
    </s:xf>
    <s:xf numFmtId="0" fontId="2" fillId="3" borderId="8" xfId="2" applyFont="1" applyFill="1" applyBorder="1" applyAlignment="1">
      <s:alignment horizontal="center" mc:Ignorable="vyd"/>
    </s:xf>
    <s:xf numFmtId="160" fontId="2" fillId="3" borderId="8" xfId="2" applyNumberFormat="1" applyFont="1" applyFill="1" applyBorder="1" applyAlignment="1">
      <s:alignment horizontal="center" mc:Ignorable="vyd"/>
    </s:xf>
    <s:xf numFmtId="164" fontId="0" fillId="0" borderId="0" xfId="0" applyNumberFormat="1"/>
    <s:xf numFmtId="164" fontId="0" fillId="0" borderId="0" xfId="0" applyNumberFormat="1" applyAlignment="1">
      <s:alignment horizontal="center" mc:Ignorable="vyd"/>
    </s:xf>
    <s:xf numFmtId="164" fontId="0" fillId="0" borderId="0" xfId="0" applyNumberFormat="1">
      <s:protection locked="1" hidden="0"/>
    </s:xf>
    <s:xf numFmtId="164" applyNumberFormat="1"/>
    <s:xf numFmtId="0" fontId="2" fillId="18" borderId="1" xfId="2" applyFont="1" applyFill="1" applyBorder="1" applyAlignment="1">
      <s:alignment horizontal="center" mc:Ignorable="vyd"/>
    </s:xf>
    <s:xf numFmtId="0" fontId="2" fillId="18" borderId="5" xfId="2" applyFont="1" applyFill="1" applyBorder="1" applyAlignment="1">
      <s:alignment horizontal="center" mc:Ignorable="vyd"/>
    </s:xf>
    <s:xf numFmtId="0" fontId="2" fillId="18" borderId="0" xfId="2" applyFont="1" applyFill="1" applyAlignment="1">
      <s:alignment horizontal="center" mc:Ignorable="vyd"/>
    </s:xf>
    <s:xf numFmtId="0" fontId="2" fillId="19" borderId="1" xfId="2" applyFont="1" applyFill="1" applyBorder="1" applyAlignment="1">
      <s:alignment horizontal="center" mc:Ignorable="vyd"/>
    </s:xf>
    <s:xf numFmtId="0" fontId="2" fillId="19" borderId="5" xfId="2" applyFont="1" applyFill="1" applyBorder="1" applyAlignment="1">
      <s:alignment horizontal="center" mc:Ignorable="vyd"/>
    </s:xf>
    <s:xf numFmtId="0" fontId="2" fillId="19" borderId="0" xfId="2" applyFont="1" applyFill="1" applyAlignment="1">
      <s:alignment horizontal="center" mc:Ignorable="vyd"/>
    </s:xf>
    <s:xf numFmtId="0" fontId="2" fillId="20" borderId="1" xfId="2" applyFont="1" applyFill="1" applyBorder="1" applyAlignment="1">
      <s:alignment horizontal="center" mc:Ignorable="vyd"/>
    </s:xf>
    <s:xf numFmtId="0" fontId="2" fillId="20" borderId="5" xfId="2" applyFont="1" applyFill="1" applyBorder="1" applyAlignment="1">
      <s:alignment horizontal="center" mc:Ignorable="vyd"/>
    </s:xf>
    <s:xf numFmtId="0" fontId="2" fillId="20" borderId="0" xfId="2" applyFont="1" applyFill="1" applyAlignment="1">
      <s:alignment horizontal="center" mc:Ignorable="vyd"/>
    </s:xf>
    <s:xf numFmtId="0" fontId="2" fillId="21" borderId="1" xfId="2" applyFont="1" applyFill="1" applyBorder="1" applyAlignment="1">
      <s:alignment horizontal="center" mc:Ignorable="vyd"/>
    </s:xf>
    <s:xf numFmtId="0" fontId="2" fillId="21" borderId="5" xfId="2" applyFont="1" applyFill="1" applyBorder="1" applyAlignment="1">
      <s:alignment horizontal="center" mc:Ignorable="vyd"/>
    </s:xf>
    <s:xf numFmtId="0" fontId="2" fillId="21" borderId="0" xfId="2" applyFont="1" applyFill="1" applyAlignment="1">
      <s:alignment horizontal="center" mc:Ignorable="vyd"/>
    </s:xf>
    <s:xf numFmtId="0" fontId="2" fillId="22" borderId="1" xfId="2" applyFont="1" applyFill="1" applyBorder="1" applyAlignment="1">
      <s:alignment horizontal="center" mc:Ignorable="vyd"/>
    </s:xf>
    <s:xf numFmtId="0" fontId="2" fillId="22" borderId="5" xfId="2" applyFont="1" applyFill="1" applyBorder="1" applyAlignment="1">
      <s:alignment horizontal="center" mc:Ignorable="vyd"/>
    </s:xf>
    <s:xf numFmtId="0" fontId="2" fillId="23" borderId="1" xfId="2" applyFont="1" applyFill="1" applyBorder="1" applyAlignment="1">
      <s:alignment horizontal="center" mc:Ignorable="vyd"/>
    </s:xf>
    <s:xf numFmtId="0" fontId="2" fillId="23" borderId="5" xfId="2" applyFont="1" applyFill="1" applyBorder="1" applyAlignment="1">
      <s:alignment horizontal="center" mc:Ignorable="vyd"/>
    </s:xf>
    <s:xf numFmtId="164" fontId="0" fillId="0" borderId="0" xfId="0" applyNumberFormat="1" applyAlignment="1">
      <s:alignment horizontal="center" mc:Ignorable="vyd"/>
      <s:protection locked="1" hidden="0"/>
    </s:xf>
    <s:xf numFmtId="0" fontId="2" fillId="24" borderId="1" xfId="2" applyFont="1" applyFill="1" applyBorder="1" applyAlignment="1">
      <s:alignment horizontal="center" mc:Ignorable="vyd"/>
    </s:xf>
    <s:xf numFmtId="0" fontId="2" fillId="24" borderId="5" xfId="2" applyFont="1" applyFill="1" applyBorder="1" applyAlignment="1">
      <s:alignment horizontal="center" mc:Ignorable="vyd"/>
    </s:xf>
    <s:xf numFmtId="0" fontId="0" fillId="0" borderId="0" xfId="0" applyNumberFormat="1" applyAlignment="1">
      <s:alignment horizontal="left" mc:Ignorable="vyd"/>
    </s:xf>
    <s:xf numFmtId="0" fontId="2" fillId="25" borderId="1" xfId="2" applyFont="1" applyFill="1" applyBorder="1" applyAlignment="1">
      <s:alignment horizontal="center" mc:Ignorable="vyd"/>
    </s:xf>
    <s:xf numFmtId="0" fontId="2" fillId="25" borderId="5" xfId="2" applyFont="1" applyFill="1" applyBorder="1" applyAlignment="1">
      <s:alignment horizontal="center" mc:Ignorable="vyd"/>
    </s:xf>
    <s:xf numFmtId="0" fontId="2" fillId="26" borderId="1" xfId="2" applyFont="1" applyFill="1" applyBorder="1" applyAlignment="1">
      <s:alignment horizontal="center" mc:Ignorable="vyd"/>
    </s:xf>
    <s:xf numFmtId="0" fontId="2" fillId="26" borderId="5" xfId="2" applyFont="1" applyFill="1" applyBorder="1" applyAlignment="1">
      <s:alignment horizontal="center" mc:Ignorable="vyd"/>
    </s:xf>
    <s:xf numFmtId="0" fontId="2" fillId="26" borderId="0" xfId="2" applyFont="1" applyFill="1" applyAlignment="1">
      <s:alignment horizontal="center" mc:Ignorable="vyd"/>
    </s:xf>
    <s:xf numFmtId="0" fontId="14" fillId="23" borderId="1" xfId="2" applyFont="1" applyFill="1" applyBorder="1" applyAlignment="1">
      <s:alignment horizontal="center" mc:Ignorable="vyd"/>
    </s:xf>
    <s:xf numFmtId="0" fontId="14" fillId="23" borderId="5" xfId="2" applyFont="1" applyFill="1" applyBorder="1" applyAlignment="1">
      <s:alignment horizontal="center" mc:Ignorable="vyd"/>
    </s:xf>
    <s:xf numFmtId="0" fontId="14" fillId="26" borderId="1" xfId="2" applyFont="1" applyFill="1" applyBorder="1" applyAlignment="1">
      <s:alignment horizontal="center" mc:Ignorable="vyd"/>
    </s:xf>
    <s:xf numFmtId="0" fontId="14" fillId="26" borderId="5" xfId="2" applyFont="1" applyFill="1" applyBorder="1" applyAlignment="1">
      <s:alignment horizontal="center" mc:Ignorable="vyd"/>
    </s:xf>
    <s:xf numFmtId="0" fontId="14" fillId="18" borderId="1" xfId="2" applyFont="1" applyFill="1" applyBorder="1" applyAlignment="1">
      <s:alignment horizontal="center" mc:Ignorable="vyd"/>
    </s:xf>
    <s:xf numFmtId="0" fontId="14" fillId="18" borderId="5" xfId="2" applyFont="1" applyFill="1" applyBorder="1" applyAlignment="1">
      <s:alignment horizontal="center" mc:Ignorable="vyd"/>
    </s:xf>
    <s:xf numFmtId="0" fontId="14" fillId="21" borderId="1" xfId="2" applyFont="1" applyFill="1" applyBorder="1" applyAlignment="1">
      <s:alignment horizontal="center" mc:Ignorable="vyd"/>
    </s:xf>
    <s:xf numFmtId="0" fontId="14" fillId="21" borderId="5" xfId="2" applyFont="1" applyFill="1" applyBorder="1" applyAlignment="1">
      <s:alignment horizontal="center" mc:Ignorable="vyd"/>
    </s:xf>
    <s:xf numFmtId="0" fontId="14" fillId="26" borderId="0" xfId="2" applyFont="1" applyFill="1" applyAlignment="1">
      <s:alignment horizontal="center" mc:Ignorable="vyd"/>
    </s:xf>
    <s:xf numFmtId="0" fontId="15" fillId="23" borderId="1" xfId="2" applyFont="1" applyFill="1" applyBorder="1" applyAlignment="1">
      <s:alignment horizontal="center" mc:Ignorable="vyd"/>
    </s:xf>
    <s:xf numFmtId="0" fontId="15" fillId="23" borderId="5" xfId="2" applyFont="1" applyFill="1" applyBorder="1" applyAlignment="1">
      <s:alignment horizontal="center" mc:Ignorable="vyd"/>
    </s:xf>
    <s:xf numFmtId="0" fontId="15" fillId="26" borderId="1" xfId="2" applyFont="1" applyFill="1" applyBorder="1" applyAlignment="1">
      <s:alignment horizontal="center" mc:Ignorable="vyd"/>
    </s:xf>
    <s:xf numFmtId="0" fontId="15" fillId="26" borderId="5" xfId="2" applyFont="1" applyFill="1" applyBorder="1" applyAlignment="1">
      <s:alignment horizontal="center" mc:Ignorable="vyd"/>
    </s:xf>
    <s:xf numFmtId="0" fontId="15" fillId="18" borderId="1" xfId="2" applyFont="1" applyFill="1" applyBorder="1" applyAlignment="1">
      <s:alignment horizontal="center" mc:Ignorable="vyd"/>
    </s:xf>
    <s:xf numFmtId="0" fontId="15" fillId="18" borderId="5" xfId="2" applyFont="1" applyFill="1" applyBorder="1" applyAlignment="1">
      <s:alignment horizontal="center" mc:Ignorable="vyd"/>
    </s:xf>
    <s:xf numFmtId="0" fontId="15" fillId="21" borderId="1" xfId="2" applyFont="1" applyFill="1" applyBorder="1" applyAlignment="1">
      <s:alignment horizontal="center" mc:Ignorable="vyd"/>
    </s:xf>
    <s:xf numFmtId="0" fontId="15" fillId="21" borderId="5" xfId="2" applyFont="1" applyFill="1" applyBorder="1" applyAlignment="1">
      <s:alignment horizontal="center" mc:Ignorable="vyd"/>
    </s:xf>
    <s:xf numFmtId="0" fontId="15" fillId="26" borderId="0" xfId="2" applyFont="1" applyFill="1" applyAlignment="1">
      <s:alignment horizontal="center" mc:Ignorable="vyd"/>
    </s:xf>
    <s:xf numFmtId="0" fontId="16" fillId="23" borderId="1" xfId="2" applyFont="1" applyFill="1" applyBorder="1" applyAlignment="1">
      <s:alignment horizontal="center" mc:Ignorable="vyd"/>
    </s:xf>
    <s:xf numFmtId="0" fontId="16" fillId="23" borderId="5" xfId="2" applyFont="1" applyFill="1" applyBorder="1" applyAlignment="1">
      <s:alignment horizontal="center" mc:Ignorable="vyd"/>
    </s:xf>
    <s:xf numFmtId="0" fontId="16" fillId="26" borderId="1" xfId="2" applyFont="1" applyFill="1" applyBorder="1" applyAlignment="1">
      <s:alignment horizontal="center" mc:Ignorable="vyd"/>
    </s:xf>
    <s:xf numFmtId="0" fontId="16" fillId="26" borderId="5" xfId="2" applyFont="1" applyFill="1" applyBorder="1" applyAlignment="1">
      <s:alignment horizontal="center" mc:Ignorable="vyd"/>
    </s:xf>
    <s:xf numFmtId="0" fontId="16" fillId="18" borderId="1" xfId="2" applyFont="1" applyFill="1" applyBorder="1" applyAlignment="1">
      <s:alignment horizontal="center" mc:Ignorable="vyd"/>
    </s:xf>
    <s:xf numFmtId="0" fontId="16" fillId="18" borderId="5" xfId="2" applyFont="1" applyFill="1" applyBorder="1" applyAlignment="1">
      <s:alignment horizontal="center" mc:Ignorable="vyd"/>
    </s:xf>
    <s:xf numFmtId="0" fontId="16" fillId="21" borderId="1" xfId="2" applyFont="1" applyFill="1" applyBorder="1" applyAlignment="1">
      <s:alignment horizontal="center" mc:Ignorable="vyd"/>
    </s:xf>
    <s:xf numFmtId="0" fontId="16" fillId="21" borderId="5" xfId="2" applyFont="1" applyFill="1" applyBorder="1" applyAlignment="1">
      <s:alignment horizontal="center" mc:Ignorable="vyd"/>
    </s:xf>
    <s:xf numFmtId="0" fontId="16" fillId="26" borderId="0" xfId="2" applyFont="1" applyFill="1" applyAlignment="1">
      <s:alignment horizontal="center" mc:Ignorable="vyd"/>
    </s:xf>
    <s:xf numFmtId="0" fontId="15" fillId="23" borderId="9" xfId="2" applyFont="1" applyFill="1" applyBorder="1" applyAlignment="1">
      <s:alignment horizontal="center" mc:Ignorable="vyd"/>
    </s:xf>
    <s:xf numFmtId="0" fontId="15" fillId="26" borderId="9" xfId="2" applyFont="1" applyFill="1" applyBorder="1" applyAlignment="1">
      <s:alignment horizontal="center" mc:Ignorable="vyd"/>
    </s:xf>
    <s:xf numFmtId="0" fontId="15" fillId="18" borderId="9" xfId="2" applyFont="1" applyFill="1" applyBorder="1" applyAlignment="1">
      <s:alignment horizontal="center" mc:Ignorable="vyd"/>
    </s:xf>
    <s:xf numFmtId="0" fontId="15" fillId="21" borderId="9" xfId="2" applyFont="1" applyFill="1" applyBorder="1" applyAlignment="1">
      <s:alignment horizontal="center" mc:Ignorable="vyd"/>
    </s:xf>
    <s:xf numFmtId="0" fontId="15" fillId="26" borderId="10" xfId="2" applyFont="1" applyFill="1" applyBorder="1" applyAlignment="1">
      <s:alignment horizontal="center" mc:Ignorable="vyd"/>
    </s:xf>
    <s:xf borderId="11" applyBorder="1"/>
    <s:xf numFmtId="0" fontId="0" fillId="0" borderId="12" xfId="0" applyBorder="1"/>
    <s:xf numFmtId="0" fontId="0" fillId="0" borderId="11" xfId="0" applyBorder="1"/>
    <s:xf numFmtId="2" fontId="0" fillId="0" borderId="0" xfId="0" applyNumberFormat="1" applyAlignment="1">
      <s:alignment horizontal="center" mc:Ignorable="vyd"/>
    </s:xf>
    <s:xf numFmtId="0" fontId="15" fillId="26" borderId="12" xfId="2" applyFont="1" applyFill="1" applyBorder="1" applyAlignment="1">
      <s:alignment horizontal="center" mc:Ignorable="vyd"/>
    </s:xf>
    <s:xf numFmtId="0" fontId="0" fillId="0" borderId="0" xfId="0" applyNumberFormat="1"/>
    <s:xf numFmtId="0" fontId="15" fillId="26" borderId="12" xfId="2" applyNumberFormat="1" applyFont="1" applyFill="1" applyBorder="1" applyAlignment="1">
      <s:alignment horizontal="center" mc:Ignorable="vyd"/>
    </s:xf>
    <s:xf numFmtId="165" applyNumberFormat="1"/>
    <s:xf numFmtId="164" applyNumberFormat="1" applyAlignment="1">
      <s:alignment horizontal="center" mc:Ignorable="vyd"/>
    </s:xf>
    <s:xf/>
    <s:xf numFmtId="164" fontId="0" fillId="0" borderId="0" xfId="0" applyNumberFormat="1" applyAlignment="1">
      <s:alignment horizontal="right" mc:Ignorable="vyd"/>
    </s:xf>
    <s:xf numFmtId="164" applyNumberFormat="1" applyAlignment="1">
      <s:alignment horizontal="right" mc:Ignorable="vyd"/>
    </s:xf>
    <s:xf numFmtId="0" fontId="15" fillId="22" borderId="9" xfId="2" applyFont="1" applyFill="1" applyBorder="1" applyAlignment="1">
      <s:alignment horizontal="center" mc:Ignorable="vyd"/>
    </s:xf>
    <s:xf numFmtId="2" fontId="0" fillId="0" borderId="0" xfId="0" applyNumberFormat="1" applyAlignment="1">
      <s:alignment horizontal="right" mc:Ignorable="vyd"/>
    </s:xf>
    <s:xf numFmtId="2" applyNumberFormat="1" applyAlignment="1">
      <s:alignment horizontal="right" mc:Ignorable="vyd"/>
    </s:xf>
    <s:xf numFmtId="166" fontId="0" fillId="0" borderId="0" xfId="0" applyNumberFormat="1" applyAlignment="1">
      <s:alignment horizontal="center" mc:Ignorable="vyd"/>
    </s:xf>
    <s:xf numFmtId="1" fontId="0" fillId="0" borderId="0" xfId="0" applyNumberFormat="1" applyAlignment="1">
      <s:alignment horizontal="center" mc:Ignorable="vyd"/>
    </s:xf>
    <s:xf numFmtId="166" fontId="0" fillId="0" borderId="0" xfId="0" applyNumberFormat="1" applyAlignment="1">
      <s:alignment horizontal="right" mc:Ignorable="vyd"/>
    </s:xf>
    <s:xf numFmtId="166" applyNumberFormat="1" applyAlignment="1">
      <s:alignment horizontal="right" mc:Ignorable="vyd"/>
    </s:xf>
    <s:xf numFmtId="1" fontId="0" fillId="0" borderId="0" xfId="0" applyNumberFormat="1" applyAlignment="1">
      <s:alignment horizontal="right" mc:Ignorable="vyd"/>
    </s:xf>
    <s:xf numFmtId="1" applyNumberFormat="1" applyAlignment="1">
      <s:alignment horizontal="right" mc:Ignorable="vyd"/>
    </s:xf>
    <s:xf fontId="17" fillId="27" applyFont="1" applyFill="1" applyAlignment="1">
      <s:alignment horizontal="left" wrapText="0" vyd:clipText="0" mc:Ignorable="vyd"/>
    </s:xf>
    <s:xf numFmtId="0" fontId="15" fillId="28" borderId="9" xfId="2" applyFont="1" applyFill="1" applyBorder="1" applyAlignment="1">
      <s:alignment horizontal="center" mc:Ignorable="vyd"/>
    </s:xf>
  </s:cellXfs>
  <s:cellStyles count="18">
    <s:cellStyle name="Обычный" xfId="0" builtinId="0"/>
    <s:cellStyle name="Bad" xfId="1" builtinId="27"/>
    <s:cellStyle name="Good" xfId="2" builtinId="26"/>
    <s:cellStyle name="Neutral" xfId="3" builtinId="28"/>
    <s:cellStyle name="Calculation" xfId="4" builtinId="22"/>
    <s:cellStyle name="Check Cell" xfId="5" builtinId="23"/>
    <s:cellStyle name="Output" xfId="6" builtinId="21"/>
    <s:cellStyle name="Input" xfId="7" builtinId="20"/>
    <s:cellStyle name="40% - Accent1" xfId="8" builtinId="31"/>
    <s:cellStyle name="40% - Accent2" xfId="9" builtinId="35"/>
    <s:cellStyle name="40% - Accent3" xfId="10" builtinId="39"/>
    <s:cellStyle name="20% - Accent2" xfId="11" builtinId="34"/>
    <s:cellStyle name="60% - Accent2" xfId="12" builtinId="36"/>
    <s:cellStyle name="20% - Accent4" xfId="13" builtinId="42"/>
    <s:cellStyle name="Accent2" xfId="14" builtinId="33"/>
    <s:cellStyle name="Warning Text" xfId="15" builtinId="11"/>
    <s:cellStyle name="Accent6" xfId="16" builtinId="49"/>
    <s:cellStyle name="Note" xfId="17" builtinId="10"/>
  </s:cellStyles>
  <s:dxfs count="7">
    <s:dxf>
      <s:numFmt numFmtId="49" formatCode="@"/>
      <s:alignment horizontal="center" vertical="bottom" textRotation="0" wrapText="0" indent="0" relativeIndent="0" shrinkToFit="0" mc:Ignorable="vyd"/>
    </s:dxf>
    <s:dxf>
      <s:alignment horizontal="center" vertical="bottom" textRotation="0" wrapText="0" indent="0" relativeIndent="0" shrinkToFit="0" mc:Ignorable="vyd"/>
    </s:dxf>
    <s:dxf>
      <s:alignment horizontal="center" vertical="bottom" textRotation="0" wrapText="0" indent="0" relativeIndent="0" shrinkToFit="0" mc:Ignorable="vyd"/>
    </s:dxf>
    <s:dxf>
      <s:alignment horizontal="center" vertical="bottom" textRotation="0" wrapText="0" indent="0" relativeIndent="0" shrinkToFit="0" mc:Ignorable="vyd"/>
    </s:dxf>
    <s:dxf>
      <s:alignment horizontal="center" vertical="bottom" textRotation="0" wrapText="0" indent="0" relativeIndent="0" shrinkToFit="0" mc:Ignorable="vyd"/>
    </s:dxf>
    <s:dxf>
      <s:alignment horizontal="center" vertical="bottom" textRotation="0" wrapText="0" indent="0" relativeIndent="0" shrinkToFit="0" mc:Ignorable="vyd"/>
    </s:dxf>
    <s:dxf>
      <s:numFmt numFmtId="160" formatCode="dd/mm/yyyy"/>
      <s:alignment horizontal="center" vertical="bottom" textRotation="0" wrapText="0" indent="0" relativeIndent="0" shrinkToFit="0" mc:Ignorable="vyd"/>
    </s:dxf>
  </s:dxfs>
  <s:tableStyles count="0" defaultTableStyle="TableStyleMedium2" defaultPivotStyle="PivotStyleLight16"/>
  <s:extLst>
    <s:ext uri="{EB79DEF2-80B8-43e5-95BD-54CBDDF9020C}">
      <x14:slicerStyles defaultSlicerStyle="SlicerStyleLight1"/>
    </s:ext>
  </s:extLst>
</s:styleSheet>
</file>

<file path=xl/_rels/workbook.xml.rels><?xml version="1.0" ?><Relationships xmlns="http://schemas.openxmlformats.org/package/2006/relationships"><Relationship Id="rId7" Type="http://schemas.openxmlformats.org/officeDocument/2006/relationships/styles" Target="styles.xml"/><Relationship Id="rId4" Type="http://schemas.microsoft.com/office/2007/relationships/slicerCache" Target="slicerCaches/slicerCache4.xml"/><Relationship Id="rId3" Type="http://schemas.microsoft.com/office/2007/relationships/slicerCache" Target="slicerCaches/slicerCache3.xml"/><Relationship Id="rId2" Type="http://schemas.microsoft.com/office/2007/relationships/slicerCache" Target="slicerCaches/slicerCache2.xml"/><Relationship Id="rId1" Type="http://schemas.microsoft.com/office/2007/relationships/slicerCache" Target="slicerCaches/slicerCache1.xml"/><Relationship Target="theme/theme1.xml" Type="http://schemas.openxmlformats.org/officeDocument/2006/relationships/theme" Id="rId8"/><Relationship Target="sharedStrings.xml" Type="http://schemas.openxmlformats.org/officeDocument/2006/relationships/sharedStrings" Id="rId9"/><Relationship Target="persons/person.xml" Type="http://schemas.microsoft.com/office/2017/10/relationships/person" Id="rId10"/><Relationship Target="metadata.xml" Type="http://schemas.openxmlformats.org/officeDocument/2006/relationships/sheetMetadata" Id="rId11"/><Relationship Target="worksheets/sheet1.xml" Type="http://schemas.openxmlformats.org/officeDocument/2006/relationships/worksheet" Id="rId5"/><Relationship Target="worksheets/sheet2.xml" Type="http://schemas.openxmlformats.org/officeDocument/2006/relationships/worksheet" Id="rId6"/></Relationships>
</file>

<file path=xl/charts/chart1.xml><?xml version="1.0" encoding="utf-8"?>
<c:chartSpace xmlns:mc="http://schemas.openxmlformats.org/markup-compatibility/2006" xmlns:vyd="http://volga.yandex.com/schemas/document/model" xmlns:a="http://schemas.openxmlformats.org/drawingml/2006/main" xmlns:c="http://schemas.openxmlformats.org/drawingml/2006/chart">
  <c:chart>
    <c:title mc:Ignorable="vyd">
      <c:tx>
        <c:rich>
          <a:bodyPr lIns="0" tIns="0" rIns="0" bIns="0"/>
          <a:p>
            <a:pPr>
              <a:defRPr sz="1700" b="1" i="0">
                <a:solidFill>
                  <a:srgbClr val="000000"/>
                </a:solidFill>
                <a:latin typeface="Calibri"/>
              </a:defRPr>
            </a:pPr>
            <a:r>
              <a:t>Соотношение версий</a:t>
            </a:r>
          </a:p>
        </c:rich>
      </c:tx>
      <c:overlay val="0"/>
      <c:txPr>
        <a:bodyPr lIns="0" tIns="0" rIns="0" bIns="0"/>
        <a:p>
          <a:pPr>
            <a:defRPr sz="1700" b="1" i="0">
              <a:solidFill>
                <a:srgbClr val="000000"/>
              </a:solidFill>
              <a:latin typeface="Calibri"/>
            </a:defRPr>
          </a:pPr>
        </a:p>
      </c:txPr>
    </c:title>
    <c:autoTitleDeleted val="0"/>
    <c:plotArea>
      <c:pieChart>
        <c:varyColors val="1"/>
        <c:ser>
          <c:idx val="0"/>
          <c:order val="0"/>
          <c:tx>
            <c:v>Количество</c:v>
          </c:tx>
          <c:spPr>
            <a:solidFill>
              <a:srgbClr val="4ED17E"/>
            </a:solidFill>
            <a:ln w="28575">
              <a:solidFill>
                <a:srgbClr val="FFFFFF"/>
              </a:solidFill>
            </a:ln>
          </c:spPr>
          <c:dPt>
            <c:idx val="0"/>
            <c:spPr>
              <a:solidFill>
                <a:srgbClr val="4ED17E"/>
              </a:solidFill>
              <a:ln w="28575">
                <a:solidFill>
                  <a:srgbClr val="FFFFFF"/>
                </a:solidFill>
              </a:ln>
            </c:spPr>
          </c:dPt>
          <c:dPt>
            <c:idx val="1"/>
            <c:spPr>
              <a:solidFill>
                <a:srgbClr val="03FF00"/>
              </a:solidFill>
              <a:ln w="28575">
                <a:solidFill>
                  <a:srgbClr val="FFFFFF"/>
                </a:solidFill>
              </a:ln>
            </c:spPr>
          </c:dPt>
          <c:dPt>
            <c:idx val="2"/>
            <c:spPr>
              <a:solidFill>
                <a:srgbClr val="F26969"/>
              </a:solidFill>
              <a:ln w="28575">
                <a:solidFill>
                  <a:srgbClr val="FFFFFF"/>
                </a:solidFill>
              </a:ln>
            </c:spPr>
          </c:dPt>
          <c:cat>
            <c:numRef>
              <c:f>Амирс!$B$73:$B$75</c:f>
            </c:numRef>
          </c:cat>
          <c:val>
            <c:numRef>
              <c:f>Амирс!$C$73:$C$75</c:f>
            </c:numRef>
          </c:val>
        </c:ser>
      </c:pieChart>
      <c:spPr>
        <a:noFill/>
      </c:spPr>
    </c:plotArea>
    <c:legend mc:Ignorable="vyd">
      <c:legendPos val="b"/>
      <c:overlay val="0"/>
      <c:txPr>
        <a:bodyPr lIns="0" tIns="0" rIns="0" bIns="0"/>
        <a:p>
          <a:pPr>
            <a:defRPr sz="825" b="0" i="0">
              <a:solidFill>
                <a:srgbClr val="6B6C77"/>
              </a:solidFill>
              <a:latin typeface="Calibri"/>
            </a:defRPr>
          </a:pPr>
        </a:p>
      </c:txPr>
    </c:legend>
  </c:chart>
</c:chartSpace>
</file>

<file path=xl/charts/chart2.xml><?xml version="1.0" encoding="utf-8"?>
<c:chartSpace xmlns:mc="http://schemas.openxmlformats.org/markup-compatibility/2006" xmlns:vyd="http://volga.yandex.com/schemas/document/model" xmlns:a="http://schemas.openxmlformats.org/drawingml/2006/main" xmlns:c="http://schemas.openxmlformats.org/drawingml/2006/chart">
  <c:chart>
    <c:title mc:Ignorable="vyd">
      <c:tx>
        <c:rich>
          <a:bodyPr lIns="0" tIns="0" rIns="0" bIns="0"/>
          <a:p>
            <a:pPr>
              <a:defRPr sz="1700" b="1" i="0">
                <a:solidFill>
                  <a:srgbClr val="6B6C77"/>
                </a:solidFill>
                <a:latin typeface="Calibri"/>
              </a:defRPr>
            </a:pPr>
            <a:r>
              <a:t>Соотношение ПИ</a:t>
            </a:r>
          </a:p>
        </c:rich>
      </c:tx>
      <c:overlay val="0"/>
      <c:txPr>
        <a:bodyPr lIns="0" tIns="0" rIns="0" bIns="0"/>
        <a:p>
          <a:pPr>
            <a:defRPr sz="1700" b="1" i="0">
              <a:solidFill>
                <a:srgbClr val="6B6C77"/>
              </a:solidFill>
              <a:latin typeface="Calibri"/>
            </a:defRPr>
          </a:pPr>
        </a:p>
      </c:txPr>
    </c:title>
    <c:autoTitleDeleted val="0"/>
    <c:plotArea>
      <c:pieChart>
        <c:varyColors val="1"/>
        <c:ser>
          <c:idx val="1"/>
          <c:order val="1"/>
          <c:tx>
            <c:v>Количество</c:v>
          </c:tx>
          <c:spPr>
            <a:solidFill>
              <a:srgbClr val="629BF8"/>
            </a:solidFill>
            <a:ln w="28575">
              <a:solidFill>
                <a:srgbClr val="FFFFFF"/>
              </a:solidFill>
            </a:ln>
          </c:spPr>
          <c:dPt>
            <c:idx val="0"/>
            <c:spPr>
              <a:solidFill>
                <a:srgbClr val="4ED17E"/>
              </a:solidFill>
              <a:ln w="28575">
                <a:solidFill>
                  <a:srgbClr val="FFFFFF"/>
                </a:solidFill>
              </a:ln>
            </c:spPr>
          </c:dPt>
          <c:dPt>
            <c:idx val="1"/>
            <c:spPr>
              <a:solidFill>
                <a:srgbClr val="629BF8"/>
              </a:solidFill>
              <a:ln w="28575">
                <a:solidFill>
                  <a:srgbClr val="FFFFFF"/>
                </a:solidFill>
              </a:ln>
            </c:spPr>
          </c:dPt>
          <c:dPt>
            <c:idx val="2"/>
            <c:spPr>
              <a:solidFill>
                <a:srgbClr val="F26969"/>
              </a:solidFill>
              <a:ln w="28575">
                <a:solidFill>
                  <a:srgbClr val="FFFFFF"/>
                </a:solidFill>
              </a:ln>
            </c:spPr>
          </c:dPt>
          <c:dPt>
            <c:idx val="3"/>
            <c:spPr>
              <a:solidFill>
                <a:srgbClr val="A27DF8"/>
              </a:solidFill>
              <a:ln w="28575">
                <a:solidFill>
                  <a:srgbClr val="FFFFFF"/>
                </a:solidFill>
              </a:ln>
            </c:spPr>
          </c:dPt>
          <c:dPt>
            <c:idx val="4"/>
            <c:spPr>
              <a:solidFill>
                <a:srgbClr val="F7993C"/>
              </a:solidFill>
              <a:ln w="28575">
                <a:solidFill>
                  <a:srgbClr val="FFFFFF"/>
                </a:solidFill>
              </a:ln>
            </c:spPr>
          </c:dPt>
          <c:dPt>
            <c:idx val="5"/>
            <c:spPr>
              <a:solidFill>
                <a:srgbClr val="3EB7ED"/>
              </a:solidFill>
              <a:ln w="28575">
                <a:solidFill>
                  <a:srgbClr val="FFFFFF"/>
                </a:solidFill>
              </a:ln>
            </c:spPr>
          </c:dPt>
          <c:cat>
            <c:numRef>
              <c:f>Амирс!$F$73:$F$78</c:f>
            </c:numRef>
          </c:cat>
          <c:val>
            <c:numRef>
              <c:f>Амирс!$G$73:$G$78</c:f>
            </c:numRef>
          </c:val>
        </c:ser>
      </c:pieChart>
      <c:spPr>
        <a:noFill/>
      </c:spPr>
    </c:plotArea>
    <c:legend mc:Ignorable="vyd">
      <c:legendPos val="b"/>
      <c:overlay val="0"/>
      <c:txPr>
        <a:bodyPr lIns="0" tIns="0" rIns="0" bIns="0"/>
        <a:p>
          <a:pPr>
            <a:defRPr sz="825" b="0" i="0">
              <a:solidFill>
                <a:srgbClr val="6B6C77"/>
              </a:solidFill>
              <a:latin typeface="Calibri"/>
            </a:defRPr>
          </a:pPr>
        </a:p>
      </c:txPr>
    </c:legend>
  </c:chart>
</c:chartSpace>
</file>

<file path=xl/drawings/_rels/drawing1.xml.rels><?xml version="1.0" ?><Relationships xmlns="http://schemas.openxmlformats.org/package/2006/relationships"><Relationship Target="../charts/chart1.xml" Type="http://schemas.openxmlformats.org/officeDocument/2006/relationships/chart" Id="rId1"/><Relationship Target="../charts/chart2.xml" Type="http://schemas.openxmlformats.org/officeDocument/2006/relationships/chart" Id="rId2"/></Relationships>
</file>

<file path=xl/drawings/drawing1.xml><?xml version="1.0" encoding="utf-8"?>
<xdr:wsDr xmlns:xdr="http://schemas.openxmlformats.org/drawingml/2006/spreadsheetDrawing" xmlns:unk1="http://schemas.microsoft.com/office/drawing/2010/slicer" xmlns:sle15="http://schemas.microsoft.com/office/drawing/2012/slicer" xmlns:a="http://schemas.openxmlformats.org/drawingml/2006/main" xmlns:c="http://schemas.openxmlformats.org/drawingml/2006/chart" xmlns:r="http://schemas.openxmlformats.org/officeDocument/2006/relationships" xmlns:mc="http://schemas.openxmlformats.org/markup-compatibility/2006">
  <xdr:absoluteAnchor>
    <xdr:pos x="0" y="12882751"/>
    <xdr:ext cx="1828800" cy="1480941"/>
    <mc:AlternateContent>
      <mc:Choice Requires="sle15">
        <xdr:graphicFrame>
          <xdr:nvGraphicFramePr>
            <xdr:cNvPr id="0" name=""/>
            <xdr:cNvGraphicFramePr>
              <a:graphicFrameLocks/>
            </xdr:cNvGraphicFramePr>
          </xdr:nvGraphicFramePr>
          <xdr:xfrm rot="0" flipH="0" flipV="0">
            <a:off x="0" y="12882751"/>
            <a:ext cx="1828800" cy="1480941"/>
          </xdr:xfrm>
          <a:graphic>
            <a:graphicData uri="http://schemas.microsoft.com/office/drawing/2010/slicer">
              <unk1:slicer name="Версия базы"/>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4449806"/>
    <xdr:ext cx="1828800" cy="1780785"/>
    <mc:AlternateContent>
      <mc:Choice Requires="sle15">
        <xdr:graphicFrame>
          <xdr:nvGraphicFramePr>
            <xdr:cNvPr id="0" name=""/>
            <xdr:cNvGraphicFramePr>
              <a:graphicFrameLocks/>
            </xdr:cNvGraphicFramePr>
          </xdr:nvGraphicFramePr>
          <xdr:xfrm rot="0" flipH="0" flipV="0">
            <a:off x="0" y="14449806"/>
            <a:ext cx="1828800" cy="1780785"/>
          </xdr:xfrm>
          <a:graphic>
            <a:graphicData uri="http://schemas.microsoft.com/office/drawing/2010/slicer">
              <unk1:slicer name="ПИ №"/>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xdr:from>
      <xdr:col>0</xdr:col>
      <xdr:colOff>114300</xdr:colOff>
      <xdr:row>69</xdr:row>
      <xdr:rowOff>195263</xdr:rowOff>
    </xdr:from>
    <xdr:to>
      <xdr:col>3</xdr:col>
      <xdr:colOff>1790700</xdr:colOff>
      <xdr:row>88</xdr:row>
      <xdr:rowOff>195263</xdr:rowOff>
    </xdr:to>
    <xdr:graphicFrame macro="">
      <xdr:nvGraphicFramePr>
        <xdr:cNvPr id="1866169474" name="Диаграмма 1"/>
        <xdr:cNvGraphicFramePr/>
      </xdr:nvGraphicFramePr>
      <xdr:xfrm>
        <a:off x="0" y="0"/>
        <a:ext cx="0" cy="0"/>
      </xdr:xfrm>
      <a:graphic>
        <a:graphicData uri="http://schemas.openxmlformats.org/drawingml/2006/chart">
          <c:chart r:id="rId1"/>
        </a:graphicData>
      </a:graphic>
    </xdr:graphicFrame>
    <xdr:clientData/>
  </xdr:twoCellAnchor>
  <xdr:twoCellAnchor>
    <xdr:from>
      <xdr:col>3</xdr:col>
      <xdr:colOff>1800225</xdr:colOff>
      <xdr:row>69</xdr:row>
      <xdr:rowOff>195263</xdr:rowOff>
    </xdr:from>
    <xdr:to>
      <xdr:col>7</xdr:col>
      <xdr:colOff>962025</xdr:colOff>
      <xdr:row>89</xdr:row>
      <xdr:rowOff>4763</xdr:rowOff>
    </xdr:to>
    <xdr:graphicFrame macro="">
      <xdr:nvGraphicFramePr>
        <xdr:cNvPr id="1866169475" name="Диаграмма 2"/>
        <xdr:cNvGraphicFramePr/>
      </xdr:nvGraphicFramePr>
      <xdr:xfrm>
        <a:off x="0" y="0"/>
        <a:ext cx="0" cy="0"/>
      </xdr:xfrm>
      <a:graphic>
        <a:graphicData uri="http://schemas.openxmlformats.org/drawingml/2006/chart">
          <c:chart r:id="rId2"/>
        </a:graphicData>
      </a:graphic>
    </xdr:graphicFrame>
    <xdr:clientData/>
  </xdr:twoCellAnchor>
</xdr:wsDr>
</file>

<file path=xl/drawings/drawing2.xml><?xml version="1.0" encoding="utf-8"?>
<xdr:wsDr xmlns:a="http://schemas.openxmlformats.org/drawingml/2006/main" xmlns:mc="http://schemas.openxmlformats.org/markup-compatibility/2006" xmlns:unk1="http://schemas.microsoft.com/office/drawing/2010/slicer" xmlns:xdr="http://schemas.openxmlformats.org/drawingml/2006/spreadsheetDrawing" xmlns:sle15="http://schemas.microsoft.com/office/drawing/2012/slicer">
  <xdr:absoluteAnchor>
    <xdr:pos x="8068643" y="471479"/>
    <xdr:ext cx="1828800" cy="2109791"/>
    <mc:AlternateContent>
      <mc:Choice Requires="sle15">
        <xdr:graphicFrame>
          <xdr:nvGraphicFramePr>
            <xdr:cNvPr id="0" name=""/>
            <xdr:cNvGraphicFramePr>
              <a:graphicFrameLocks/>
            </xdr:cNvGraphicFramePr>
          </xdr:nvGraphicFramePr>
          <xdr:xfrm rot="0" flipH="0" flipV="0">
            <a:off x="8068644" y="471479"/>
            <a:ext cx="1828800" cy="2109792"/>
          </xdr:xfrm>
          <a:graphic>
            <a:graphicData uri="http://schemas.microsoft.com/office/drawing/2010/slicer">
              <unk1:slicer name="Патч"/>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9897443" y="471479"/>
    <xdr:ext cx="1828800" cy="903703"/>
    <mc:AlternateContent>
      <mc:Choice Requires="sle15">
        <xdr:graphicFrame>
          <xdr:nvGraphicFramePr>
            <xdr:cNvPr id="1434713079" name=""/>
            <xdr:cNvGraphicFramePr>
              <a:graphicFrameLocks/>
            </xdr:cNvGraphicFramePr>
          </xdr:nvGraphicFramePr>
          <xdr:xfrm rot="0" flipH="0" flipV="0">
            <a:off x="9897443" y="471479"/>
            <a:ext cx="1828800" cy="903705"/>
          </xdr:xfrm>
          <a:graphic>
            <a:graphicData uri="http://schemas.microsoft.com/office/drawing/2010/slicer">
              <unk1:slicer name="Версия базы 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persons/person.xml><?xml version="1.0" encoding="utf-8"?>
<sc:personList xmlns:sc="http://schemas.microsoft.com/office/spreadsheetml/2018/threadedcomments">
  <sc:person displayName="Центр Информационных Технологий" id="{56597FBB-A054-F50B-50CD-3C734F9E2D2D}" userId="1456244627" providerId="Teamlab"/>
</sc:personList>
</file>

<file path=xl/slicerCaches/slicerCache1.xml><?xml version="1.0" encoding="utf-8"?>
<x14:slicerCacheDefinition xmlns:mc="http://schemas.openxmlformats.org/markup-compatibility/2006" xmlns:xr10="http://schemas.microsoft.com/office/spreadsheetml/2016/revision10" xmlns:x14="http://schemas.microsoft.com/office/spreadsheetml/2009/9/main" xmlns:unk2="http://schemas.microsoft.com/office/spreadsheetml/2010/11/main" xmlns:s="http://schemas.openxmlformats.org/spreadsheetml/2006/main" mc:Ignorable="s xr10" name="Slicer_Версия_базы" xr10:uid="{26D6AFCC-A9B8-6792-AE5D-1F1E9A2C0F25}" sourceName="Версия базы">
  <x14:extLst>
    <x14:ext uri="{2F2917AC-EB37-4324-AD4E-5DD8C200BD13}">
      <unk2:tableSlicerCache tableId="1" column="2" sortOrder="ascending" customListSort="1" crossFilter="showItemsWithDataAtTop"/>
    </x14:ext>
  </x14:extLst>
</x14:slicerCacheDefinition>
</file>

<file path=xl/slicerCaches/slicerCache2.xml><?xml version="1.0" encoding="utf-8"?>
<x14:slicerCacheDefinition xmlns:mc="http://schemas.openxmlformats.org/markup-compatibility/2006" xmlns:xr10="http://schemas.microsoft.com/office/spreadsheetml/2016/revision10" xmlns:x14="http://schemas.microsoft.com/office/spreadsheetml/2009/9/main" xmlns:unk2="http://schemas.microsoft.com/office/spreadsheetml/2010/11/main" xmlns:s="http://schemas.openxmlformats.org/spreadsheetml/2006/main" mc:Ignorable="s xr10" name="Slicer_ПИ_№" xr10:uid="{B8600685-F87A-5276-D65F-179C7FE31451}" sourceName="ПИ №">
  <x14:extLst>
    <x14:ext uri="{2F2917AC-EB37-4324-AD4E-5DD8C200BD13}">
      <unk2:tableSlicerCache tableId="1" column="3" sortOrder="ascending" customListSort="1" crossFilter="showItemsWithDataAtTop"/>
    </x14:ext>
  </x14:extLst>
</x14:slicerCacheDefinition>
</file>

<file path=xl/slicerCaches/slicerCache3.xml><?xml version="1.0" encoding="utf-8"?>
<x14:slicerCacheDefinition xmlns:mc="http://schemas.openxmlformats.org/markup-compatibility/2006" xmlns:xr10="http://schemas.microsoft.com/office/spreadsheetml/2016/revision10" xmlns:x14="http://schemas.microsoft.com/office/spreadsheetml/2009/9/main" xmlns:unk2="http://schemas.microsoft.com/office/spreadsheetml/2010/11/main" xmlns:s="http://schemas.openxmlformats.org/spreadsheetml/2006/main" mc:Ignorable="s xr10" name="Slicer_Патч" xr10:uid="{4C8741B6-EC95-94BB-B60B-63A1086392B4}" sourceName="Патч">
  <x14:extLst>
    <x14:ext uri="{2F2917AC-EB37-4324-AD4E-5DD8C200BD13}">
      <unk2:tableSlicerCache tableId="2" column="3" sortOrder="ascending" customListSort="1" crossFilter="showItemsWithDataAtTop"/>
    </x14:ext>
  </x14:extLst>
</x14:slicerCacheDefinition>
</file>

<file path=xl/slicerCaches/slicerCache4.xml><?xml version="1.0" encoding="utf-8"?>
<x14:slicerCacheDefinition xmlns:mc="http://schemas.openxmlformats.org/markup-compatibility/2006" xmlns:xr10="http://schemas.microsoft.com/office/spreadsheetml/2016/revision10" xmlns:x14="http://schemas.microsoft.com/office/spreadsheetml/2009/9/main" xmlns:unk2="http://schemas.microsoft.com/office/spreadsheetml/2010/11/main" xmlns:s="http://schemas.openxmlformats.org/spreadsheetml/2006/main" mc:Ignorable="s xr10" name="Slicer_Версия_базы1" xr10:uid="{24D9E57A-324B-9A85-7BAD-857843E56DC4}" sourceName="Версия базы">
  <x14:extLst>
    <x14:ext uri="{2F2917AC-EB37-4324-AD4E-5DD8C200BD13}">
      <unk2:tableSlicerCache tableId="2" column="2" sortOrder="ascending" customListSort="1" crossFilter="showItemsWithDataAtTop"/>
    </x14:ext>
  </x14:extLst>
</x14:slicerCacheDefinition>
</file>

<file path=xl/slicers/slicer1.xml><?xml version="1.0" encoding="utf-8"?>
<x14:slicers xmlns:mc="http://schemas.openxmlformats.org/markup-compatibility/2006" xmlns:xr10="http://schemas.microsoft.com/office/spreadsheetml/2016/revision10" xmlns:s="http://schemas.openxmlformats.org/spreadsheetml/2006/main" xmlns:x14="http://schemas.microsoft.com/office/spreadsheetml/2009/9/main" mc:Ignorable="s xr10">
  <x14:slicer name="Версия базы" xr10:uid="{6223E0C8-B9B4-A649-A567-A7026C26D3B3}" cache="Slicer_Версия_базы" caption="Версия базы" startItem="0" columnCount="1" showCaption="1" level="0" lockedPosition="0" rowHeight="241300"/>
  <x14:slicer name="ПИ №" xr10:uid="{33533068-B4E7-3FFD-EC78-BE74BD6FA1C9}" cache="Slicer_ПИ_№" caption="ПИ №" startItem="0" columnCount="1" showCaption="1" level="0" lockedPosition="0" rowHeight="241300"/>
</x14:slicers>
</file>

<file path=xl/slicers/slicer2.xml><?xml version="1.0" encoding="utf-8"?>
<x14:slicers xmlns:mc="http://schemas.openxmlformats.org/markup-compatibility/2006" xmlns:xr10="http://schemas.microsoft.com/office/spreadsheetml/2016/revision10" xmlns:s="http://schemas.openxmlformats.org/spreadsheetml/2006/main" xmlns:x14="http://schemas.microsoft.com/office/spreadsheetml/2009/9/main" mc:Ignorable="s xr10">
  <x14:slicer name="Патч" xr10:uid="{74E65330-8BA7-A239-38B7-EE2C0BC5660E}" cache="Slicer_Патч" caption="Патч" startItem="0" columnCount="1" showCaption="1" level="0" lockedPosition="0" rowHeight="241300"/>
  <x14:slicer name="Версия базы 1" xr10:uid="{EADE1A4E-0B9B-C878-1889-ED666CF5D1CE}" cache="Slicer_Версия_базы1" caption="Версия базы" startItem="0" columnCount="1" showCaption="1" level="0" lockedPosition="0" rowHeight="241300"/>
</x14:slicers>
</file>

<file path=xl/tables/table1.xml><?xml version="1.0" encoding="utf-8"?>
<s:table xmlns:mc="http://schemas.openxmlformats.org/markup-compatibility/2006" xmlns:xr3="http://schemas.microsoft.com/office/spreadsheetml/2016/revision3" xmlns:xr="http://schemas.microsoft.com/office/spreadsheetml/2014/revision" xmlns:s="http://schemas.openxmlformats.org/spreadsheetml/2006/main" mc:Ignorable="xr xr3" id="1" displayName="Таблица1" ref="A1:J69">
  <s:autoFilter ref="A1:J69"/>
  <s:tableColumns count="10">
    <s:tableColumn id="1" name="№ с/у"/>
    <s:tableColumn id="2" name="Версия базы" dataDxfId="0"/>
    <s:tableColumn id="3" name="ПИ №" dataDxfId="1"/>
    <s:tableColumn id="4" name="Дата последнего обновления"/>
    <s:tableColumn id="5" name="Адрес"/>
    <s:tableColumn id="6" name="Дата резервной копии"/>
    <s:tableColumn id="7" name="Дата проверки"/>
    <s:tableColumn id="8" name="IP Адрес" dataDxfId="2"/>
    <s:tableColumn id="9" name="Архивация"/>
    <s:tableColumn id="10" name="Расположение базы " dataDxfId="3"/>
  </s:tableColumns>
  <s:tableStyleInfo name="TableStyleLight18" showFirstColumn="0" showLastColumn="0" showRowStripes="1" showColumnStripes="0"/>
</s:table>
</file>

<file path=xl/tables/table2.xml><?xml version="1.0" encoding="utf-8"?>
<s:table xmlns:mc="http://schemas.openxmlformats.org/markup-compatibility/2006" xmlns:xr3="http://schemas.microsoft.com/office/spreadsheetml/2016/revision3" xmlns:xr="http://schemas.microsoft.com/office/spreadsheetml/2014/revision" xmlns:s="http://schemas.openxmlformats.org/spreadsheetml/2006/main" mc:Ignorable="xr xr3" id="2" displayName="Таблица13" ref="A1:F69">
  <s:autoFilter ref="A1:F69"/>
  <s:tableColumns count="6">
    <s:tableColumn id="1" name="№ с/у" dataDxfId="4"/>
    <s:tableColumn id="2" name="Версия базы" dataDxfId="5"/>
    <s:tableColumn id="3" name="Патч" dataDxfId="6"/>
    <s:tableColumn id="4" name="Дата"/>
    <s:tableColumn id="5" name="Адрес"/>
    <s:tableColumn id="6" name="Готовность"/>
  </s:tableColumns>
  <s:tableStyleInfo name="TableStyleLight18" showFirstColumn="0" showLastColumn="0" showRowStripes="1" showColumnStripes="0"/>
</s: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sc:ThreadedComments xmlns:sc="http://schemas.microsoft.com/office/spreadsheetml/2018/threadedcomments">
  <sc:threadedComment ref="D76" dT="2022-12-02T08:21:28.57Z" personId="{56597FBB-A054-F50B-50CD-3C734F9E2D2D}" id="{39AEAD76-A303-A778-A7F8-A7E42B478EB7}" done="1">
    <sc:text xml:space="preserve">Версия 1.7.4
</sc:text>
  </sc:threadedComment>
  <sc:threadedComment ref="E76" dT="2022-12-02T08:21:42.09Z" personId="{56597FBB-A054-F50B-50CD-3C734F9E2D2D}" id="{DE869F98-8D81-7CE4-C70B-64760D6B09AA}" done="1">
    <sc:text xml:space="preserve">Версия 1.7.3
</sc:text>
  </sc:threadedComment>
  <sc:threadedComment ref="F76" dT="2022-12-02T08:21:42.09Z" personId="{56597FBB-A054-F50B-50CD-3C734F9E2D2D}" id="{F8E83202-DB63-7DEA-EF14-E5F630372DA2}" done="1">
    <sc:text xml:space="preserve">Версия 1.7.3
</sc:text>
  </sc:threadedComment>
</sc:ThreadedComments>
</file>

<file path=xl/threadedComments/threadedComment2.xml><?xml version="1.0" encoding="utf-8"?>
<sc:ThreadedComments xmlns:sc="http://schemas.microsoft.com/office/spreadsheetml/2018/threadedcomments">
  <sc:threadedComment ref="E76" dT="2022-12-02T08:21:42.09Z" personId="{56597FBB-A054-F50B-50CD-3C734F9E2D2D}" id="{0DBC2CE2-1C51-CAB9-C9A3-A8EF064218FB}" done="1">
    <sc:text xml:space="preserve">Версия 1.7.3
</sc:text>
  </sc:threadedComment>
</sc:ThreadedComments>
</file>

<file path=xl/worksheets/_rels/sheet1.xml.rels><?xml version="1.0" ?><Relationships xmlns="http://schemas.openxmlformats.org/package/2006/relationships"><Relationship Id="rId6" Type="http://schemas.microsoft.com/office/2007/relationships/slicer" Target="../slicers/slicer1.xml"/><Relationship Id="rId5" Type="http://schemas.openxmlformats.org/officeDocument/2006/relationships/table" Target="../tables/table1.xml"/><Relationship Target="../drawings/drawing1.xml" Type="http://schemas.openxmlformats.org/officeDocument/2006/relationships/drawing" Id="rId1"/><Relationship Target="../drawings/vmlDrawing1.vml" Type="http://schemas.openxmlformats.org/officeDocument/2006/relationships/vmlDrawing" Id="rId2"/><Relationship Target="../threadedComments/threadedComment1.xml" Type="http://schemas.microsoft.com/office/2017/10/relationships/threadedComment" Id="rId3"/><Relationship Target="../comments1.xml" Type="http://schemas.openxmlformats.org/officeDocument/2006/relationships/comments" Id="rId4"/></Relationships>
</file>

<file path=xl/worksheets/_rels/sheet2.xml.rels><?xml version="1.0" ?><Relationships xmlns="http://schemas.openxmlformats.org/package/2006/relationships"><Relationship Id="rId6" Type="http://schemas.microsoft.com/office/2007/relationships/slicer" Target="../slicers/slicer2.xml"/><Relationship Id="rId5" Type="http://schemas.openxmlformats.org/officeDocument/2006/relationships/table" Target="../tables/table2.xml"/><Relationship Target="../drawings/drawing2.xml" Type="http://schemas.openxmlformats.org/officeDocument/2006/relationships/drawing" Id="rId1"/><Relationship Target="../drawings/vmlDrawing2.vml" Type="http://schemas.openxmlformats.org/officeDocument/2006/relationships/vmlDrawing" Id="rId2"/><Relationship Target="../threadedComments/threadedComment2.xml" Type="http://schemas.microsoft.com/office/2017/10/relationships/threadedComment" Id="rId3"/><Relationship Target="../comments2.xml" Type="http://schemas.openxmlformats.org/officeDocument/2006/relationships/comments" Id="rId4"/></Relationships>
</file>

<file path=xl/worksheets/sheet1.xml><?xml version="1.0" encoding="utf-8"?>
<s:worksheet xmlns:x14ac="http://schemas.microsoft.com/office/spreadsheetml/2009/9/ac" xmlns:mc="http://schemas.openxmlformats.org/markup-compatibility/2006" xmlns:x14="http://schemas.microsoft.com/office/spreadsheetml/2009/9/main" xmlns:r="http://schemas.openxmlformats.org/officeDocument/2006/relationships" xmlns:s="http://schemas.openxmlformats.org/spreadsheetml/2006/main" mc:Ignorable="x14ac">
  <s:sheetViews>
    <s:sheetView showGridLines="1" showRowColHeaders="1" tabSelected="0" zoomScale="100" workbookViewId="0">
      <s:pane ySplit="1" topLeftCell="A2" activePane="bottomLeft" state="frozen"/>
      <s:selection activeCell="F12" activeCellId="0" sqref="F12"/>
    </s:sheetView>
  </s:sheetViews>
  <s:sheetFormatPr defaultColWidth="10" defaultRowHeight="14.25"/>
  <s:cols>
    <s:col min="1" max="1" width="5.852" customWidth="1"/>
    <s:col min="2" max="2" width="17.09" style="1" customWidth="1"/>
    <s:col min="3" max="3" width="10.898" style="1" customWidth="1"/>
    <s:col min="4" max="4" width="25.57" style="28" customWidth="1"/>
    <s:col min="5" max="5" width="36.141" style="0" bestFit="1" customWidth="1"/>
    <s:col min="6" max="6" width="20.422" style="29" customWidth="1"/>
    <s:col min="7" max="7" width="17.852" style="28" customWidth="1"/>
    <s:col min="8" max="8" width="13.711" customWidth="1"/>
    <s:col min="9" max="9" width="13.004" bestFit="1" customWidth="1"/>
    <s:col min="10" max="10" width="34.844" style="4" bestFit="1" customWidth="1"/>
    <s:col min="11" max="11" width="11.281" customWidth="1"/>
    <s:col min="12" max="12" width="5.004" customWidth="1"/>
  </s:cols>
  <s:sheetData>
    <s:row r="1" s="1" customFormat="1">
      <s:c r="A1" s="5" t="s">
        <s:v>0</s:v>
      </s:c>
      <s:c r="B1" s="6" t="s">
        <s:v>1</s:v>
      </s:c>
      <s:c r="C1" s="6" t="s">
        <s:v>2</s:v>
      </s:c>
      <s:c r="D1" s="29" t="s">
        <s:v>3</s:v>
      </s:c>
      <s:c r="E1" s="6" t="s">
        <s:v>4</s:v>
      </s:c>
      <s:c r="F1" s="29" t="s">
        <s:v>5</s:v>
      </s:c>
      <s:c r="G1" s="29" t="s">
        <s:v>6</s:v>
      </s:c>
      <s:c r="H1" s="6" t="s">
        <s:v>7</s:v>
      </s:c>
      <s:c r="I1" s="8" t="s">
        <s:v>8</s:v>
      </s:c>
      <s:c r="J1" s="9" t="s">
        <s:v>9</s:v>
      </s:c>
    </s:row>
    <s:row r="2">
      <s:c r="A2">
        <s:v>1</s:v>
      </s:c>
      <s:c r="B2" s="84" t="s">
        <s:v>133</s:v>
      </s:c>
      <s:c r="C2" s="84" t="s">
        <s:v>109</s:v>
      </s:c>
      <s:c r="D2" s="29">
        <s:v>45481</s:v>
      </s:c>
      <s:c r="E2" t="s">
        <s:v>11</s:v>
      </s:c>
      <s:c r="F2" s="29" t="s">
        <s:v>12</s:v>
      </s:c>
      <s:c r="G2" s="29">
        <s:v>45110</s:v>
      </s:c>
      <s:c r="H2" s="3" t="s">
        <s:v>13</s:v>
      </s:c>
      <s:c r="I2" s="3"/>
      <s:c r="J2" s="4" t="s">
        <s:v>14</s:v>
      </s:c>
    </s:row>
    <s:row r="3">
      <s:c r="A3">
        <s:v>2</s:v>
      </s:c>
      <s:c r="B3" s="84" t="s">
        <s:v>133</s:v>
      </s:c>
      <s:c r="C3" s="84" t="s">
        <s:v>109</s:v>
      </s:c>
      <s:c r="D3" s="29">
        <s:v>45481</s:v>
      </s:c>
      <s:c r="E3" t="s">
        <s:v>11</s:v>
      </s:c>
      <s:c r="F3" s="29" t="s">
        <s:v>12</s:v>
      </s:c>
      <s:c r="G3" s="29">
        <s:v>45110</s:v>
      </s:c>
      <s:c r="H3" s="3" t="s">
        <s:v>15</s:v>
      </s:c>
      <s:c r="I3" s="3"/>
      <s:c r="J3" s="4" t="s">
        <s:v>14</s:v>
      </s:c>
    </s:row>
    <s:row r="4">
      <s:c r="A4">
        <s:v>3</s:v>
      </s:c>
      <s:c r="B4" s="84" t="s">
        <s:v>133</s:v>
      </s:c>
      <s:c r="C4" s="84" t="s">
        <s:v>109</s:v>
      </s:c>
      <s:c r="D4" s="29">
        <s:v>45481</s:v>
      </s:c>
      <s:c r="E4" t="s">
        <s:v>11</s:v>
      </s:c>
      <s:c r="F4" s="29" t="s">
        <s:v>12</s:v>
      </s:c>
      <s:c r="G4" s="29">
        <s:v>45078</s:v>
      </s:c>
      <s:c r="H4" s="3" t="s">
        <s:v>16</s:v>
      </s:c>
      <s:c r="I4" s="3" t="s">
        <s:v>17</s:v>
      </s:c>
      <s:c r="J4" s="4" t="s">
        <s:v>14</s:v>
      </s:c>
    </s:row>
    <s:row r="5">
      <s:c r="A5">
        <s:v>4</s:v>
      </s:c>
      <s:c r="B5" s="84" t="s">
        <s:v>133</s:v>
      </s:c>
      <s:c r="C5" s="84" t="s">
        <s:v>109</s:v>
      </s:c>
      <s:c r="D5" s="29">
        <s:v>45481</s:v>
      </s:c>
      <s:c r="E5" t="s">
        <s:v>11</s:v>
      </s:c>
      <s:c r="F5" s="29" t="s">
        <s:v>12</s:v>
      </s:c>
      <s:c r="G5" s="29">
        <s:v>45110</s:v>
      </s:c>
      <s:c r="H5" s="3" t="s">
        <s:v>18</s:v>
      </s:c>
      <s:c r="I5" s="3"/>
      <s:c r="J5" s="4" t="s">
        <s:v>14</s:v>
      </s:c>
    </s:row>
    <s:row r="6">
      <s:c r="A6">
        <s:v>5</s:v>
      </s:c>
      <s:c r="B6" s="84" t="s">
        <s:v>133</s:v>
      </s:c>
      <s:c r="C6" s="84" t="s">
        <s:v>109</s:v>
      </s:c>
      <s:c r="D6" s="29">
        <s:v>45482</s:v>
      </s:c>
      <s:c r="E6" t="s">
        <s:v>11</s:v>
      </s:c>
      <s:c r="F6" s="29"/>
      <s:c r="G6" s="29"/>
      <s:c r="H6" s="3" t="s">
        <s:v>19</s:v>
      </s:c>
      <s:c r="I6" s="3"/>
      <s:c r="J6" s="4" t="s">
        <s:v>14</s:v>
      </s:c>
    </s:row>
    <s:row r="7">
      <s:c r="A7">
        <s:v>6</s:v>
      </s:c>
      <s:c r="B7" s="101" t="s">
        <s:v>126</s:v>
      </s:c>
      <s:c r="C7" s="101" t="s">
        <s:v>127</s:v>
      </s:c>
      <s:c r="D7" s="29">
        <s:v>45482</s:v>
      </s:c>
      <s:c r="E7" t="s">
        <s:v>11</s:v>
      </s:c>
      <s:c r="F7" s="29">
        <s:v>45110</s:v>
      </s:c>
      <s:c r="G7" s="29">
        <s:v>45110</s:v>
      </s:c>
      <s:c r="H7" s="3" t="s">
        <s:v>20</s:v>
      </s:c>
      <s:c r="I7" s="3"/>
      <s:c r="J7" s="4" t="s">
        <s:v>14</s:v>
      </s:c>
    </s:row>
    <s:row r="8">
      <s:c r="A8">
        <s:v>7</s:v>
      </s:c>
      <s:c r="B8" s="84" t="s">
        <s:v>133</s:v>
      </s:c>
      <s:c r="C8" s="84" t="s">
        <s:v>109</s:v>
      </s:c>
      <s:c r="D8" s="29">
        <s:v>46206</s:v>
      </s:c>
      <s:c r="E8" t="s">
        <s:v>11</s:v>
      </s:c>
      <s:c r="F8" s="29">
        <s:v>45076</s:v>
      </s:c>
      <s:c r="G8" s="29">
        <s:v>45083</s:v>
      </s:c>
      <s:c r="H8" s="3" t="s">
        <s:v>21</s:v>
      </s:c>
      <s:c r="I8" s="3"/>
      <s:c r="J8" s="4" t="s">
        <s:v>14</s:v>
      </s:c>
    </s:row>
    <s:row r="9">
      <s:c r="A9">
        <s:v>8</s:v>
      </s:c>
      <s:c r="B9" s="84" t="s">
        <s:v>133</s:v>
      </s:c>
      <s:c r="C9" s="84" t="s">
        <s:v>109</s:v>
      </s:c>
      <s:c r="D9" s="29">
        <s:v>45482</s:v>
      </s:c>
      <s:c r="E9" t="s">
        <s:v>11</s:v>
      </s:c>
      <s:c r="F9" s="29">
        <s:v>45110</s:v>
      </s:c>
      <s:c r="G9" s="29">
        <s:v>44950</s:v>
      </s:c>
      <s:c r="H9" s="12" t="s">
        <s:v>22</s:v>
      </s:c>
      <s:c r="I9" s="3"/>
      <s:c r="J9" s="4" t="s">
        <s:v>14</s:v>
      </s:c>
    </s:row>
    <s:row r="10">
      <s:c r="A10">
        <s:v>9</s:v>
      </s:c>
      <s:c r="B10" s="84" t="s">
        <s:v>133</s:v>
      </s:c>
      <s:c r="C10" s="84" t="s">
        <s:v>109</s:v>
      </s:c>
      <s:c r="D10" s="29">
        <s:v>45483</s:v>
      </s:c>
      <s:c r="E10" t="s">
        <s:v>11</s:v>
      </s:c>
      <s:c r="F10" s="29">
        <s:v>45076</s:v>
      </s:c>
      <s:c r="G10" s="29">
        <s:v>45184</s:v>
      </s:c>
      <s:c r="H10" s="12" t="s">
        <s:v>23</s:v>
      </s:c>
      <s:c r="I10" s="3"/>
      <s:c r="J10" s="4" t="s">
        <s:v>14</s:v>
      </s:c>
    </s:row>
    <s:row r="11">
      <s:c r="A11">
        <s:v>10</s:v>
      </s:c>
      <s:c r="B11" s="86" t="s">
        <s:v>133</s:v>
      </s:c>
      <s:c r="C11" s="86" t="s">
        <s:v>108</s:v>
      </s:c>
      <s:c r="D11" s="29">
        <s:v>45483</s:v>
      </s:c>
      <s:c r="E11" t="s">
        <s:v>11</s:v>
      </s:c>
      <s:c r="F11" s="29">
        <s:v>45110</s:v>
      </s:c>
      <s:c r="G11" s="29">
        <s:v>45154</s:v>
      </s:c>
      <s:c r="H11" s="12" t="s">
        <s:v>24</s:v>
      </s:c>
      <s:c r="I11" s="3"/>
      <s:c r="J11" s="4" t="s">
        <s:v>14</s:v>
      </s:c>
    </s:row>
    <s:row r="12">
      <s:c r="A12">
        <s:v>11</s:v>
      </s:c>
      <s:c r="B12" s="84" t="s">
        <s:v>133</s:v>
      </s:c>
      <s:c r="C12" s="84" t="s">
        <s:v>109</s:v>
      </s:c>
      <s:c r="D12" s="29">
        <s:v>45483</s:v>
      </s:c>
      <s:c r="E12" s="13" t="s">
        <s:v>11</s:v>
      </s:c>
      <s:c r="F12" s="29">
        <s:v>45076</s:v>
      </s:c>
      <s:c r="G12" s="29">
        <s:v>45110</s:v>
      </s:c>
      <s:c r="H12" s="12" t="s">
        <s:v>25</s:v>
      </s:c>
      <s:c r="I12" s="14"/>
      <s:c r="J12" s="4" t="s">
        <s:v>14</s:v>
      </s:c>
    </s:row>
    <s:row r="13">
      <s:c r="A13">
        <s:v>12</s:v>
      </s:c>
      <s:c r="B13" s="84" t="s">
        <s:v>133</s:v>
      </s:c>
      <s:c r="C13" s="84" t="s">
        <s:v>109</s:v>
      </s:c>
      <s:c r="D13" s="29">
        <s:v>45483</s:v>
      </s:c>
      <s:c r="E13" t="s">
        <s:v>11</s:v>
      </s:c>
      <s:c r="F13" s="29">
        <s:v>45110</s:v>
      </s:c>
      <s:c r="G13" s="29">
        <s:v>45110</s:v>
      </s:c>
      <s:c r="H13" s="12" t="s">
        <s:v>26</s:v>
      </s:c>
      <s:c r="I13" s="14"/>
      <s:c r="J13" s="4" t="s">
        <s:v>14</s:v>
      </s:c>
    </s:row>
    <s:row r="14">
      <s:c r="A14">
        <s:v>13</s:v>
      </s:c>
      <s:c r="B14" s="85" t="s">
        <s:v>10</s:v>
      </s:c>
      <s:c r="C14" s="85" t="s">
        <s:v>130</s:v>
      </s:c>
      <s:c r="D14" s="29">
        <s:v>45484</s:v>
      </s:c>
      <s:c r="E14" t="s">
        <s:v>11</s:v>
      </s:c>
      <s:c r="F14" s="29">
        <s:v>45076</s:v>
      </s:c>
      <s:c r="G14" s="29">
        <s:v>45022</s:v>
      </s:c>
      <s:c r="H14" s="12" t="s">
        <s:v>27</s:v>
      </s:c>
      <s:c r="I14" s="14"/>
      <s:c r="J14" s="4" t="s">
        <s:v>14</s:v>
      </s:c>
    </s:row>
    <s:row r="15">
      <s:c r="A15">
        <s:v>14</s:v>
      </s:c>
      <s:c r="B15" s="87" t="s">
        <s:v>10</s:v>
      </s:c>
      <s:c r="C15" s="87" t="s">
        <s:v>131</s:v>
      </s:c>
      <s:c r="D15" s="29">
        <s:v>45480</s:v>
      </s:c>
      <s:c r="E15" t="s">
        <s:v>28</s:v>
      </s:c>
      <s:c r="F15" s="29" t="s">
        <s:v>12</s:v>
      </s:c>
      <s:c r="G15" s="29">
        <s:v>44956</s:v>
      </s:c>
      <s:c r="H15" s="3" t="s">
        <s:v>29</s:v>
      </s:c>
      <s:c r="I15" s="3"/>
      <s:c r="J15" s="4" t="s">
        <s:v>30</s:v>
      </s:c>
    </s:row>
    <s:row r="16">
      <s:c r="A16">
        <s:v>15</s:v>
      </s:c>
      <s:c r="B16" s="84" t="s">
        <s:v>133</s:v>
      </s:c>
      <s:c r="C16" s="84" t="s">
        <s:v>109</s:v>
      </s:c>
      <s:c r="D16" s="29">
        <s:v>45545</s:v>
      </s:c>
      <s:c r="E16" t="s">
        <s:v>28</s:v>
      </s:c>
      <s:c r="F16" s="29" t="s">
        <s:v>12</s:v>
      </s:c>
      <s:c r="G16" s="29">
        <s:v>45110</s:v>
      </s:c>
      <s:c r="H16" s="3" t="s">
        <s:v>29</s:v>
      </s:c>
      <s:c r="I16" s="3"/>
      <s:c r="J16" s="4" t="s">
        <s:v>31</s:v>
      </s:c>
    </s:row>
    <s:row r="17">
      <s:c r="A17">
        <s:v>16</s:v>
      </s:c>
      <s:c r="B17" s="84" t="s">
        <s:v>133</s:v>
      </s:c>
      <s:c r="C17" s="84" t="s">
        <s:v>109</s:v>
      </s:c>
      <s:c r="D17" s="29">
        <s:v>45480</s:v>
      </s:c>
      <s:c r="E17" t="s">
        <s:v>28</s:v>
      </s:c>
      <s:c r="F17" s="29" t="s">
        <s:v>12</s:v>
      </s:c>
      <s:c r="G17" s="29">
        <s:v>44974</s:v>
      </s:c>
      <s:c r="H17" s="3" t="s">
        <s:v>29</s:v>
      </s:c>
      <s:c r="I17" s="3"/>
      <s:c r="J17" s="4" t="s">
        <s:v>32</s:v>
      </s:c>
    </s:row>
    <s:row r="18">
      <s:c r="A18">
        <s:v>17</s:v>
      </s:c>
      <s:c r="B18" s="84" t="s">
        <s:v>133</s:v>
      </s:c>
      <s:c r="C18" s="84" t="s">
        <s:v>109</s:v>
      </s:c>
      <s:c r="D18" s="29">
        <s:v>45480</s:v>
      </s:c>
      <s:c r="E18" t="s">
        <s:v>28</s:v>
      </s:c>
      <s:c r="F18" s="29" t="s">
        <s:v>12</s:v>
      </s:c>
      <s:c r="G18" s="29">
        <s:v>44999</s:v>
      </s:c>
      <s:c r="H18" s="3" t="s">
        <s:v>29</s:v>
      </s:c>
      <s:c r="I18" s="3"/>
      <s:c r="J18" s="4" t="s">
        <s:v>33</s:v>
      </s:c>
    </s:row>
    <s:row r="19">
      <s:c r="A19">
        <s:v>18</s:v>
      </s:c>
      <s:c r="B19" s="87" t="s">
        <s:v>10</s:v>
      </s:c>
      <s:c r="C19" s="87" t="s">
        <s:v>130</s:v>
      </s:c>
      <s:c r="D19" s="29">
        <s:v>45480</s:v>
      </s:c>
      <s:c r="E19" t="s">
        <s:v>28</s:v>
      </s:c>
      <s:c r="F19" s="29" t="s">
        <s:v>12</s:v>
      </s:c>
      <s:c r="G19" s="29">
        <s:v>44959</s:v>
      </s:c>
      <s:c r="H19" s="3" t="s">
        <s:v>29</s:v>
      </s:c>
      <s:c r="I19" s="3"/>
      <s:c r="J19" s="4" t="s">
        <s:v>34</s:v>
      </s:c>
    </s:row>
    <s:row r="20">
      <s:c r="A20">
        <s:v>19</s:v>
      </s:c>
      <s:c r="B20" s="84" t="s">
        <s:v>133</s:v>
      </s:c>
      <s:c r="C20" s="84" t="s">
        <s:v>109</s:v>
      </s:c>
      <s:c r="D20" s="29">
        <s:v>45480</s:v>
      </s:c>
      <s:c r="E20" t="s">
        <s:v>28</s:v>
      </s:c>
      <s:c r="F20" s="29" t="s">
        <s:v>12</s:v>
      </s:c>
      <s:c r="G20" s="29">
        <s:v>45120</s:v>
      </s:c>
      <s:c r="H20" s="3" t="s">
        <s:v>29</s:v>
      </s:c>
      <s:c r="I20" s="3"/>
      <s:c r="J20" s="4" t="s">
        <s:v>35</s:v>
      </s:c>
    </s:row>
    <s:row r="21">
      <s:c r="A21">
        <s:v>20</s:v>
      </s:c>
      <s:c r="B21" s="87" t="s">
        <s:v>10</s:v>
      </s:c>
      <s:c r="C21" s="87" t="s">
        <s:v>130</s:v>
      </s:c>
      <s:c r="D21" s="29">
        <s:v>45480</s:v>
      </s:c>
      <s:c r="E21" t="s">
        <s:v>28</s:v>
      </s:c>
      <s:c r="F21" s="29" t="s">
        <s:v>12</s:v>
      </s:c>
      <s:c r="G21" s="29">
        <s:v>45061</s:v>
      </s:c>
      <s:c r="H21" s="3" t="s">
        <s:v>29</s:v>
      </s:c>
      <s:c r="I21" s="3"/>
      <s:c r="J21" s="4" t="s">
        <s:v>36</s:v>
      </s:c>
    </s:row>
    <s:row r="22">
      <s:c r="A22">
        <s:v>21</s:v>
      </s:c>
      <s:c r="B22" s="84" t="s">
        <s:v>133</s:v>
      </s:c>
      <s:c r="C22" s="84" t="s">
        <s:v>109</s:v>
      </s:c>
      <s:c r="D22" s="29">
        <s:v>45540</s:v>
      </s:c>
      <s:c r="E22" t="s">
        <s:v>28</s:v>
      </s:c>
      <s:c r="F22" s="29" t="s">
        <s:v>12</s:v>
      </s:c>
      <s:c r="G22" s="29">
        <s:v>45110</s:v>
      </s:c>
      <s:c r="H22" s="3" t="s">
        <s:v>29</s:v>
      </s:c>
      <s:c r="I22" s="3"/>
      <s:c r="J22" s="4" t="s">
        <s:v>37</s:v>
      </s:c>
    </s:row>
    <s:row r="23">
      <s:c r="A23">
        <s:v>22</s:v>
      </s:c>
      <s:c r="B23" s="87" t="s">
        <s:v>10</s:v>
      </s:c>
      <s:c r="C23" s="87" t="s">
        <s:v>130</s:v>
      </s:c>
      <s:c r="D23" s="29">
        <s:v>45480</s:v>
      </s:c>
      <s:c r="E23" t="s">
        <s:v>28</s:v>
      </s:c>
      <s:c r="F23" s="29" t="s">
        <s:v>12</s:v>
      </s:c>
      <s:c r="G23" s="29">
        <s:v>45110</s:v>
      </s:c>
      <s:c r="H23" s="3" t="s">
        <s:v>29</s:v>
      </s:c>
      <s:c r="I23" s="3"/>
      <s:c r="J23" s="4" t="s">
        <s:v>38</s:v>
      </s:c>
    </s:row>
    <s:row r="24">
      <s:c r="A24">
        <s:v>23</s:v>
      </s:c>
      <s:c r="B24" s="101" t="s">
        <s:v>126</s:v>
      </s:c>
      <s:c r="C24" s="101" t="s">
        <s:v>127</s:v>
      </s:c>
      <s:c r="D24" s="29">
        <s:v>45480</s:v>
      </s:c>
      <s:c r="E24" t="s">
        <s:v>28</s:v>
      </s:c>
      <s:c r="F24" s="29" t="s">
        <s:v>12</s:v>
      </s:c>
      <s:c r="G24" s="29">
        <s:v>45110</s:v>
      </s:c>
      <s:c r="H24" s="3" t="s">
        <s:v>29</s:v>
      </s:c>
      <s:c r="I24" s="3"/>
      <s:c r="J24" s="4" t="s">
        <s:v>39</s:v>
      </s:c>
    </s:row>
    <s:row r="25">
      <s:c r="A25">
        <s:v>24</s:v>
      </s:c>
      <s:c r="B25" s="87" t="s">
        <s:v>10</s:v>
      </s:c>
      <s:c r="C25" s="87" t="s">
        <s:v>130</s:v>
      </s:c>
      <s:c r="D25" s="29">
        <s:v>45480</s:v>
      </s:c>
      <s:c r="E25" t="s">
        <s:v>28</s:v>
      </s:c>
      <s:c r="F25" s="29" t="s">
        <s:v>12</s:v>
      </s:c>
      <s:c r="G25" s="29">
        <s:v>45058</s:v>
      </s:c>
      <s:c r="H25" s="3" t="s">
        <s:v>29</s:v>
      </s:c>
      <s:c r="I25" s="3" t="s">
        <s:v>17</s:v>
      </s:c>
      <s:c r="J25" s="4" t="s">
        <s:v>40</s:v>
      </s:c>
    </s:row>
    <s:row r="26">
      <s:c r="A26">
        <s:v>25</s:v>
      </s:c>
      <s:c r="B26" s="84" t="s">
        <s:v>133</s:v>
      </s:c>
      <s:c r="C26" s="84" t="s">
        <s:v>109</s:v>
      </s:c>
      <s:c r="D26" s="29">
        <s:v>45480</s:v>
      </s:c>
      <s:c r="E26" t="s">
        <s:v>28</s:v>
      </s:c>
      <s:c r="F26" s="29" t="s">
        <s:v>12</s:v>
      </s:c>
      <s:c r="G26" s="29">
        <s:v>45061</s:v>
      </s:c>
      <s:c r="H26" s="3" t="s">
        <s:v>29</s:v>
      </s:c>
      <s:c r="I26" s="3" t="s">
        <s:v>17</s:v>
      </s:c>
      <s:c r="J26" s="4" t="s">
        <s:v>41</s:v>
      </s:c>
    </s:row>
    <s:row r="27">
      <s:c r="A27">
        <s:v>26</s:v>
      </s:c>
      <s:c r="B27" s="85" t="s">
        <s:v>10</s:v>
      </s:c>
      <s:c r="C27" s="85">
        <s:v>8</s:v>
      </s:c>
      <s:c r="D27" s="29">
        <s:v>45484</s:v>
      </s:c>
      <s:c r="E27" t="s">
        <s:v>42</s:v>
      </s:c>
      <s:c r="F27" s="29">
        <s:v>45219</s:v>
      </s:c>
      <s:c r="G27" s="29">
        <s:v>45219</s:v>
      </s:c>
      <s:c r="H27" s="3" t="s">
        <s:v>43</s:v>
      </s:c>
      <s:c r="I27" s="3"/>
      <s:c r="J27" s="4"/>
    </s:row>
    <s:row r="28">
      <s:c r="A28">
        <s:v>27</s:v>
      </s:c>
      <s:c r="B28" s="85" t="s">
        <s:v>10</s:v>
      </s:c>
      <s:c r="C28" s="85">
        <s:v>8</s:v>
      </s:c>
      <s:c r="D28" s="29">
        <s:v>45484</s:v>
      </s:c>
      <s:c r="E28" t="s">
        <s:v>42</s:v>
      </s:c>
      <s:c r="F28" s="29">
        <s:v>45219</s:v>
      </s:c>
      <s:c r="G28" s="29">
        <s:v>45219</s:v>
      </s:c>
      <s:c r="H28" s="3" t="s">
        <s:v>44</s:v>
      </s:c>
      <s:c r="I28" s="3"/>
      <s:c r="J28" s="4"/>
    </s:row>
    <s:row r="29">
      <s:c r="A29">
        <s:v>28</s:v>
      </s:c>
      <s:c r="B29" s="85" t="s">
        <s:v>10</s:v>
      </s:c>
      <s:c r="C29" s="85">
        <s:v>8</s:v>
      </s:c>
      <s:c r="D29" s="29">
        <s:v>45483</s:v>
      </s:c>
      <s:c r="E29" t="s">
        <s:v>42</s:v>
      </s:c>
      <s:c r="F29" s="29">
        <s:v>45076</s:v>
      </s:c>
      <s:c r="G29" s="29">
        <s:v>45076</s:v>
      </s:c>
      <s:c r="H29" s="3" t="s">
        <s:v>45</s:v>
      </s:c>
      <s:c r="I29" s="3"/>
      <s:c r="J29" s="4"/>
    </s:row>
    <s:row r="30">
      <s:c r="A30">
        <s:v>29</s:v>
      </s:c>
      <s:c r="B30" s="84" t="s">
        <s:v>133</s:v>
      </s:c>
      <s:c r="C30" s="84" t="s">
        <s:v>109</s:v>
      </s:c>
      <s:c r="D30" s="29">
        <s:v>45481</s:v>
      </s:c>
      <s:c r="E30" t="s">
        <s:v>11</s:v>
      </s:c>
      <s:c r="F30" s="29">
        <s:v>45083</s:v>
      </s:c>
      <s:c r="G30" s="29">
        <s:v>45083</s:v>
      </s:c>
      <s:c r="H30" s="12" t="s">
        <s:v>46</s:v>
      </s:c>
      <s:c r="I30" s="3"/>
      <s:c r="J30" s="4" t="s">
        <s:v>14</s:v>
      </s:c>
    </s:row>
    <s:row r="31">
      <s:c r="A31">
        <s:v>30</s:v>
      </s:c>
      <s:c r="B31" s="84" t="s">
        <s:v>133</s:v>
      </s:c>
      <s:c r="C31" s="84" t="s">
        <s:v>109</s:v>
      </s:c>
      <s:c r="D31" s="29">
        <s:v>45484</s:v>
      </s:c>
      <s:c r="E31" t="s">
        <s:v>11</s:v>
      </s:c>
      <s:c r="F31" s="29">
        <s:v>44987</s:v>
      </s:c>
      <s:c r="G31" s="29">
        <s:v>44987</s:v>
      </s:c>
      <s:c r="H31" s="12" t="s">
        <s:v>47</s:v>
      </s:c>
      <s:c r="I31" s="3"/>
      <s:c r="J31" s="4" t="s">
        <s:v>14</s:v>
      </s:c>
    </s:row>
    <s:row r="32">
      <s:c r="A32">
        <s:v>31</s:v>
      </s:c>
      <s:c r="B32" s="84" t="s">
        <s:v>133</s:v>
      </s:c>
      <s:c r="C32" s="84" t="s">
        <s:v>109</s:v>
      </s:c>
      <s:c r="D32" s="29">
        <s:v>45483</s:v>
      </s:c>
      <s:c r="E32" t="s">
        <s:v>48</s:v>
      </s:c>
      <s:c r="F32" s="29">
        <s:v>44999</s:v>
      </s:c>
      <s:c r="G32" s="29">
        <s:v>44999</s:v>
      </s:c>
      <s:c r="H32" s="3" t="s">
        <s:v>49</s:v>
      </s:c>
      <s:c r="I32" s="3"/>
      <s:c r="J32" s="4"/>
    </s:row>
    <s:row r="33">
      <s:c r="A33">
        <s:v>32</s:v>
      </s:c>
      <s:c r="B33" s="84" t="s">
        <s:v>133</s:v>
      </s:c>
      <s:c r="C33" s="84" t="s">
        <s:v>109</s:v>
      </s:c>
      <s:c r="D33" s="29">
        <s:v>45481</s:v>
      </s:c>
      <s:c r="E33" t="s">
        <s:v>48</s:v>
      </s:c>
      <s:c r="F33" s="29"/>
      <s:c r="G33" s="29"/>
      <s:c r="H33" s="3" t="s">
        <s:v>50</s:v>
      </s:c>
      <s:c r="I33" s="3"/>
      <s:c r="J33" s="4"/>
    </s:row>
    <s:row r="34">
      <s:c r="A34">
        <s:v>33</s:v>
      </s:c>
      <s:c r="B34" s="84" t="s">
        <s:v>133</s:v>
      </s:c>
      <s:c r="C34" s="84" t="s">
        <s:v>109</s:v>
      </s:c>
      <s:c r="D34" s="29">
        <s:v>45483</s:v>
      </s:c>
      <s:c r="E34" t="s">
        <s:v>51</s:v>
      </s:c>
      <s:c r="F34" s="29">
        <s:v>45028</s:v>
      </s:c>
      <s:c r="G34" s="29">
        <s:v>45028</s:v>
      </s:c>
      <s:c r="H34" s="3" t="s">
        <s:v>52</s:v>
      </s:c>
      <s:c r="I34" s="3"/>
      <s:c r="J34" s="4" t="s">
        <s:v>14</s:v>
      </s:c>
    </s:row>
    <s:row r="35">
      <s:c r="A35">
        <s:v>34</s:v>
      </s:c>
      <s:c r="B35" s="84" t="s">
        <s:v>133</s:v>
      </s:c>
      <s:c r="C35" s="84" t="s">
        <s:v>109</s:v>
      </s:c>
      <s:c r="D35" s="29">
        <s:v>45483</s:v>
      </s:c>
      <s:c r="E35" t="s">
        <s:v>51</s:v>
      </s:c>
      <s:c r="F35" s="29">
        <s:v>45182</s:v>
      </s:c>
      <s:c r="G35" s="29">
        <s:v>45182</s:v>
      </s:c>
      <s:c r="H35" s="3" t="s">
        <s:v>53</s:v>
      </s:c>
      <s:c r="I35" s="3"/>
      <s:c r="J35" s="4"/>
    </s:row>
    <s:row r="36">
      <s:c r="A36">
        <s:v>35</s:v>
      </s:c>
      <s:c r="B36" s="101" t="s">
        <s:v>126</s:v>
      </s:c>
      <s:c r="C36" s="101" t="s">
        <s:v>127</s:v>
      </s:c>
      <s:c r="D36" s="29">
        <s:v>46113</s:v>
      </s:c>
      <s:c r="E36" t="s">
        <s:v>54</s:v>
      </s:c>
      <s:c r="F36" s="29">
        <s:v>44973</s:v>
      </s:c>
      <s:c r="G36" s="29">
        <s:v>44973</s:v>
      </s:c>
      <s:c r="H36" s="3"/>
      <s:c r="I36" s="3"/>
      <s:c r="J36" s="4"/>
    </s:row>
    <s:row r="37">
      <s:c r="A37">
        <s:v>36</s:v>
      </s:c>
      <s:c r="B37" s="101" t="s">
        <s:v>126</s:v>
      </s:c>
      <s:c r="C37" s="101" t="s">
        <s:v>127</s:v>
      </s:c>
      <s:c r="D37" s="29">
        <s:v>45485</s:v>
      </s:c>
      <s:c r="E37" t="s">
        <s:v>55</s:v>
      </s:c>
      <s:c r="F37" s="29">
        <s:v>44994</s:v>
      </s:c>
      <s:c r="G37" s="29">
        <s:v>44994</s:v>
      </s:c>
      <s:c r="H37" s="3" t="s">
        <s:v>56</s:v>
      </s:c>
      <s:c r="I37" s="3"/>
      <s:c r="J37" s="4"/>
    </s:row>
    <s:row r="38">
      <s:c r="A38">
        <s:v>37</s:v>
      </s:c>
      <s:c r="B38" s="84" t="s">
        <s:v>133</s:v>
      </s:c>
      <s:c r="C38" s="84" t="s">
        <s:v>109</s:v>
      </s:c>
      <s:c r="D38" s="29">
        <s:v>45484</s:v>
      </s:c>
      <s:c r="E38" t="s">
        <s:v>54</s:v>
      </s:c>
      <s:c r="F38" s="29">
        <s:v>44952</s:v>
      </s:c>
      <s:c r="G38" s="29">
        <s:v>44952</s:v>
      </s:c>
      <s:c r="H38" s="3" t="s">
        <s:v>124</s:v>
      </s:c>
      <s:c r="I38" s="3"/>
      <s:c r="J38" s="15" t="s">
        <s:v>125</s:v>
      </s:c>
    </s:row>
    <s:row r="39">
      <s:c r="A39">
        <s:v>38</s:v>
      </s:c>
      <s:c r="B39" s="84" t="s">
        <s:v>133</s:v>
      </s:c>
      <s:c r="C39" s="84" t="s">
        <s:v>109</s:v>
      </s:c>
      <s:c r="D39" s="29">
        <s:v>46205</s:v>
      </s:c>
      <s:c r="E39" t="s">
        <s:v>28</s:v>
      </s:c>
      <s:c r="F39" s="29" t="s">
        <s:v>12</s:v>
      </s:c>
      <s:c r="G39" s="29">
        <s:v>45048</s:v>
      </s:c>
      <s:c r="H39" s="3" t="s">
        <s:v>29</s:v>
      </s:c>
      <s:c r="I39" s="3"/>
      <s:c r="J39" s="4"/>
    </s:row>
    <s:row r="40">
      <s:c r="A40">
        <s:v>39</s:v>
      </s:c>
      <s:c r="B40" s="87" t="s">
        <s:v>10</s:v>
      </s:c>
      <s:c r="C40" s="87" t="s">
        <s:v>131</s:v>
      </s:c>
      <s:c r="D40" s="29">
        <s:v>45480</s:v>
      </s:c>
      <s:c r="E40" t="s">
        <s:v>28</s:v>
      </s:c>
      <s:c r="F40" s="29" t="s">
        <s:v>12</s:v>
      </s:c>
      <s:c r="G40" s="29">
        <s:v>45169</s:v>
      </s:c>
      <s:c r="H40" s="3" t="s">
        <s:v>29</s:v>
      </s:c>
      <s:c r="I40" s="3"/>
      <s:c r="J40" s="4"/>
    </s:row>
    <s:row r="41">
      <s:c r="A41">
        <s:v>40</s:v>
      </s:c>
      <s:c r="B41" s="85" t="s">
        <s:v>10</s:v>
      </s:c>
      <s:c r="C41" s="85">
        <s:v>8</s:v>
      </s:c>
      <s:c r="D41" s="29">
        <s:v>45483</s:v>
      </s:c>
      <s:c r="E41" t="s">
        <s:v>58</s:v>
      </s:c>
      <s:c r="F41" s="29">
        <s:v>45110</s:v>
      </s:c>
      <s:c r="G41" s="29">
        <s:v>45110</s:v>
      </s:c>
      <s:c r="H41" s="3" t="s">
        <s:v>59</s:v>
      </s:c>
      <s:c r="I41" s="3"/>
      <s:c r="J41" s="4"/>
    </s:row>
    <s:row r="42">
      <s:c r="A42">
        <s:v>41</s:v>
      </s:c>
      <s:c r="B42" s="85" t="s">
        <s:v>10</s:v>
      </s:c>
      <s:c r="C42" s="85">
        <s:v>8</s:v>
      </s:c>
      <s:c r="D42" s="29">
        <s:v>45483</s:v>
      </s:c>
      <s:c r="E42" t="s">
        <s:v>58</s:v>
      </s:c>
      <s:c r="F42" s="29">
        <s:v>45077</s:v>
      </s:c>
      <s:c r="G42" s="29">
        <s:v>45077</s:v>
      </s:c>
      <s:c r="H42" s="3" t="s">
        <s:v>60</s:v>
      </s:c>
      <s:c r="I42" s="3"/>
      <s:c r="J42" s="4"/>
    </s:row>
    <s:row r="43">
      <s:c r="A43">
        <s:v>42</s:v>
      </s:c>
      <s:c r="B43" s="84" t="s">
        <s:v>133</s:v>
      </s:c>
      <s:c r="C43" s="84" t="s">
        <s:v>109</s:v>
      </s:c>
      <s:c r="D43" s="29">
        <s:v>45482</s:v>
      </s:c>
      <s:c r="E43" t="s">
        <s:v>61</s:v>
      </s:c>
      <s:c r="F43" s="29">
        <s:v>45188</s:v>
      </s:c>
      <s:c r="G43" s="29">
        <s:v>45188</s:v>
      </s:c>
      <s:c r="H43" s="3" t="s">
        <s:v>62</s:v>
      </s:c>
      <s:c r="I43" s="3"/>
      <s:c r="J43" s="4" t="s">
        <s:v>165</s:v>
      </s:c>
    </s:row>
    <s:row r="44">
      <s:c r="A44">
        <s:v>43</s:v>
      </s:c>
      <s:c r="B44" s="85" t="s">
        <s:v>10</s:v>
      </s:c>
      <s:c r="C44" s="85">
        <s:v>8</s:v>
      </s:c>
      <s:c r="D44" s="29">
        <s:v>45482</s:v>
      </s:c>
      <s:c r="E44" t="s">
        <s:v>63</s:v>
      </s:c>
      <s:c r="F44" s="29">
        <s:v>44965</s:v>
      </s:c>
      <s:c r="G44" s="29">
        <s:v>44965</s:v>
      </s:c>
      <s:c r="H44" s="3" t="s">
        <s:v>64</s:v>
      </s:c>
      <s:c r="I44" s="3"/>
      <s:c r="J44" s="4"/>
    </s:row>
    <s:row r="45">
      <s:c r="A45">
        <s:v>44</s:v>
      </s:c>
      <s:c r="B45" s="111" t="s">
        <s:v>126</s:v>
      </s:c>
      <s:c r="C45" s="111" t="s">
        <s:v>109</s:v>
      </s:c>
      <s:c r="D45" s="29">
        <s:v>45476</s:v>
      </s:c>
      <s:c r="E45" t="s">
        <s:v>65</s:v>
      </s:c>
      <s:c r="F45" s="29">
        <s:v>45110</s:v>
      </s:c>
      <s:c r="G45" s="29">
        <s:v>45110</s:v>
      </s:c>
      <s:c r="H45" s="3" t="s">
        <s:v>66</s:v>
      </s:c>
      <s:c r="I45" s="3"/>
      <s:c r="J45" s="4"/>
    </s:row>
    <s:row r="46">
      <s:c r="A46">
        <s:v>45</s:v>
      </s:c>
      <s:c r="B46" s="85" t="s">
        <s:v>10</s:v>
      </s:c>
      <s:c r="C46" s="85">
        <s:v>8</s:v>
      </s:c>
      <s:c r="D46" s="29">
        <s:v>45482</s:v>
      </s:c>
      <s:c r="E46" t="s">
        <s:v>67</s:v>
      </s:c>
      <s:c r="F46" s="29">
        <s:v>44971</s:v>
      </s:c>
      <s:c r="G46" s="29">
        <s:v>44971</s:v>
      </s:c>
      <s:c r="H46" s="3" t="s">
        <s:v>68</s:v>
      </s:c>
      <s:c r="I46" s="3"/>
      <s:c r="J46" s="51" t="s">
        <s:v>132</s:v>
      </s:c>
    </s:row>
    <s:row r="47">
      <s:c r="A47">
        <s:v>46</s:v>
      </s:c>
      <s:c r="B47" s="85" t="s">
        <s:v>10</s:v>
      </s:c>
      <s:c r="C47" s="85">
        <s:v>8</s:v>
      </s:c>
      <s:c r="D47" s="29">
        <s:v>45482</s:v>
      </s:c>
      <s:c r="E47" t="s">
        <s:v>69</s:v>
      </s:c>
      <s:c r="F47" s="29">
        <s:v>45113</s:v>
      </s:c>
      <s:c r="G47" s="29">
        <s:v>45113</s:v>
      </s:c>
      <s:c r="H47" s="14" t="s">
        <s:v>70</s:v>
      </s:c>
      <s:c r="I47" s="14"/>
      <s:c r="J47" s="4"/>
    </s:row>
    <s:row r="48">
      <s:c r="A48">
        <s:v>47</s:v>
      </s:c>
      <s:c r="B48" s="85" t="s">
        <s:v>10</s:v>
      </s:c>
      <s:c r="C48" s="85">
        <s:v>8</s:v>
      </s:c>
      <s:c r="D48" s="29">
        <s:v>45477</s:v>
      </s:c>
      <s:c r="E48" t="s">
        <s:v>71</s:v>
      </s:c>
      <s:c r="F48" s="29">
        <s:v>44994</s:v>
      </s:c>
      <s:c r="G48" s="29">
        <s:v>44994</s:v>
      </s:c>
      <s:c r="H48" s="3" t="s">
        <s:v>72</s:v>
      </s:c>
      <s:c r="I48" s="3"/>
      <s:c r="J48" s="4"/>
    </s:row>
    <s:row r="49">
      <s:c r="A49">
        <s:v>48</s:v>
      </s:c>
      <s:c r="B49" s="84" t="s">
        <s:v>133</s:v>
      </s:c>
      <s:c r="C49" s="84" t="s">
        <s:v>109</s:v>
      </s:c>
      <s:c r="D49" s="29">
        <s:v>45488</s:v>
      </s:c>
      <s:c r="E49" t="s">
        <s:v>73</s:v>
      </s:c>
      <s:c r="F49" s="29">
        <s:v>45215</s:v>
      </s:c>
      <s:c r="G49" s="29">
        <s:v>45215</s:v>
      </s:c>
      <s:c r="H49" s="3" t="s">
        <s:v>74</s:v>
      </s:c>
      <s:c r="I49" s="3"/>
      <s:c r="J49" s="15" t="s">
        <s:v>75</s:v>
      </s:c>
    </s:row>
    <s:row r="50">
      <s:c r="A50">
        <s:v>49</s:v>
      </s:c>
      <s:c r="B50" s="101" t="s">
        <s:v>126</s:v>
      </s:c>
      <s:c r="C50" s="101" t="s">
        <s:v>127</s:v>
      </s:c>
      <s:c r="D50" s="29">
        <s:v>45477</s:v>
      </s:c>
      <s:c r="E50" t="s">
        <s:v>76</s:v>
      </s:c>
      <s:c r="F50" s="29">
        <s:v>45077</s:v>
      </s:c>
      <s:c r="G50" s="29">
        <s:v>45077</s:v>
      </s:c>
      <s:c r="H50" s="3" t="s">
        <s:v>77</s:v>
      </s:c>
      <s:c r="I50" s="3"/>
      <s:c r="J50" s="4"/>
    </s:row>
    <s:row r="51">
      <s:c r="A51">
        <s:v>50</s:v>
      </s:c>
      <s:c r="B51" s="85" t="s">
        <s:v>10</s:v>
      </s:c>
      <s:c r="C51" s="85">
        <s:v>8</s:v>
      </s:c>
      <s:c r="D51" s="29">
        <s:v>45485</s:v>
      </s:c>
      <s:c r="E51" t="s">
        <s:v>78</s:v>
      </s:c>
      <s:c r="F51" s="29">
        <s:v>44995</s:v>
      </s:c>
      <s:c r="G51" s="29">
        <s:v>44995</s:v>
      </s:c>
      <s:c r="H51" s="3" t="s">
        <s:v>79</s:v>
      </s:c>
      <s:c r="I51" s="3"/>
      <s:c r="J51" s="4"/>
    </s:row>
    <s:row r="52">
      <s:c r="A52">
        <s:v>51</s:v>
      </s:c>
      <s:c r="B52" s="85" t="s">
        <s:v>10</s:v>
      </s:c>
      <s:c r="C52" s="85">
        <s:v>8</s:v>
      </s:c>
      <s:c r="D52" s="29">
        <s:v>45477</s:v>
      </s:c>
      <s:c r="E52" t="s">
        <s:v>80</s:v>
      </s:c>
      <s:c r="F52" s="29">
        <s:v>44998</s:v>
      </s:c>
      <s:c r="G52" s="29">
        <s:v>44998</s:v>
      </s:c>
      <s:c r="H52" s="3" t="s">
        <s:v>81</s:v>
      </s:c>
      <s:c r="I52" s="3"/>
      <s:c r="J52" s="4"/>
    </s:row>
    <s:row r="53">
      <s:c r="A53">
        <s:v>52</s:v>
      </s:c>
      <s:c r="B53" s="85" t="s">
        <s:v>10</s:v>
      </s:c>
      <s:c r="C53" s="85">
        <s:v>8</s:v>
      </s:c>
      <s:c r="D53" s="29">
        <s:v>45477</s:v>
      </s:c>
      <s:c r="E53" t="s">
        <s:v>82</s:v>
      </s:c>
      <s:c r="F53" s="29">
        <s:v>44977</s:v>
      </s:c>
      <s:c r="G53" s="29">
        <s:v>44977</s:v>
      </s:c>
      <s:c r="H53" s="3" t="s">
        <s:v>83</s:v>
      </s:c>
      <s:c r="I53" s="3"/>
      <s:c r="J53" s="4"/>
    </s:row>
    <s:row r="54">
      <s:c r="A54">
        <s:v>53</s:v>
      </s:c>
      <s:c r="B54" s="84" t="s">
        <s:v>133</s:v>
      </s:c>
      <s:c r="C54" s="84" t="s">
        <s:v>109</s:v>
      </s:c>
      <s:c r="D54" s="29">
        <s:v>45476</s:v>
      </s:c>
      <s:c r="E54" t="s">
        <s:v>84</s:v>
      </s:c>
      <s:c r="F54" s="29">
        <s:v>45117</s:v>
      </s:c>
      <s:c r="G54" s="29">
        <s:v>45117</s:v>
      </s:c>
      <s:c r="H54" s="3" t="s">
        <s:v>85</s:v>
      </s:c>
      <s:c r="I54" s="3"/>
      <s:c r="J54" s="4" t="s">
        <s:v>86</s:v>
      </s:c>
    </s:row>
    <s:row r="55">
      <s:c r="A55">
        <s:v>54</s:v>
      </s:c>
      <s:c r="B55" s="84" t="s">
        <s:v>133</s:v>
      </s:c>
      <s:c r="C55" s="84" t="s">
        <s:v>109</s:v>
      </s:c>
      <s:c r="D55" s="29">
        <s:v>45476</s:v>
      </s:c>
      <s:c r="E55" t="s">
        <s:v>87</s:v>
      </s:c>
      <s:c r="F55" s="29">
        <s:v>45110</s:v>
      </s:c>
      <s:c r="G55" s="29">
        <s:v>45110</s:v>
      </s:c>
      <s:c r="H55" s="14" t="s">
        <s:v>88</s:v>
      </s:c>
      <s:c r="I55" s="14"/>
      <s:c r="J55" s="4" t="s">
        <s:v>14</s:v>
      </s:c>
    </s:row>
    <s:row r="56">
      <s:c r="A56">
        <s:v>55</s:v>
      </s:c>
      <s:c r="B56" s="84" t="s">
        <s:v>133</s:v>
      </s:c>
      <s:c r="C56" s="84" t="s">
        <s:v>109</s:v>
      </s:c>
      <s:c r="D56" s="29">
        <s:v>45476</s:v>
      </s:c>
      <s:c r="E56" s="0" t="s">
        <s:v>89</s:v>
      </s:c>
      <s:c r="F56" s="29">
        <s:v>45191</s:v>
      </s:c>
      <s:c r="G56" s="29">
        <s:v>45191</s:v>
      </s:c>
      <s:c r="H56" s="3" t="s">
        <s:v>90</s:v>
      </s:c>
      <s:c r="I56" s="3"/>
      <s:c r="J56" s="4" t="s">
        <s:v>14</s:v>
      </s:c>
    </s:row>
    <s:row r="57">
      <s:c r="A57">
        <s:v>56</s:v>
      </s:c>
      <s:c r="B57" s="84" t="s">
        <s:v>133</s:v>
      </s:c>
      <s:c r="C57" s="84" t="s">
        <s:v>109</s:v>
      </s:c>
      <s:c r="D57" s="29">
        <s:v>45476</s:v>
      </s:c>
      <s:c r="E57" s="0" t="s">
        <s:v>91</s:v>
      </s:c>
      <s:c r="F57" s="29">
        <s:v>45078</s:v>
      </s:c>
      <s:c r="G57" s="29">
        <s:v>45078</s:v>
      </s:c>
      <s:c r="H57" s="3" t="s">
        <s:v>92</s:v>
      </s:c>
      <s:c r="I57" s="3"/>
      <s:c r="J57" s="4" t="s">
        <s:v>14</s:v>
      </s:c>
    </s:row>
    <s:row r="58">
      <s:c r="A58">
        <s:v>57</s:v>
      </s:c>
      <s:c r="B58" s="84" t="s">
        <s:v>133</s:v>
      </s:c>
      <s:c r="C58" s="84" t="s">
        <s:v>109</s:v>
      </s:c>
      <s:c r="D58" s="29">
        <s:v>45476</s:v>
      </s:c>
      <s:c r="E58" t="s">
        <s:v>93</s:v>
      </s:c>
      <s:c r="F58" s="29">
        <s:v>45111</s:v>
      </s:c>
      <s:c r="G58" s="29">
        <s:v>45111</s:v>
      </s:c>
      <s:c r="H58" s="3" t="s">
        <s:v>94</s:v>
      </s:c>
      <s:c r="I58" s="3"/>
      <s:c r="J58" s="4"/>
    </s:row>
    <s:row r="59">
      <s:c r="A59">
        <s:v>58</s:v>
      </s:c>
      <s:c r="B59" s="84" t="s">
        <s:v>133</s:v>
      </s:c>
      <s:c r="C59" s="84" t="s">
        <s:v>109</s:v>
      </s:c>
      <s:c r="D59" s="29">
        <s:v>45476</s:v>
      </s:c>
      <s:c r="E59" s="16" t="s">
        <s:v>95</s:v>
      </s:c>
      <s:c r="F59" s="29">
        <s:v>44998</s:v>
      </s:c>
      <s:c r="G59" s="29">
        <s:v>44998</s:v>
      </s:c>
      <s:c r="H59" s="3" t="s">
        <s:v>96</s:v>
      </s:c>
      <s:c r="I59" s="3"/>
      <s:c r="J59" s="4"/>
    </s:row>
    <s:row r="60">
      <s:c r="A60">
        <s:v>59</s:v>
      </s:c>
      <s:c r="B60" s="84" t="s">
        <s:v>133</s:v>
      </s:c>
      <s:c r="C60" s="84" t="s">
        <s:v>109</s:v>
      </s:c>
      <s:c r="D60" s="29">
        <s:v>45476</s:v>
      </s:c>
      <s:c r="E60" t="s">
        <s:v>97</s:v>
      </s:c>
      <s:c r="F60" s="29">
        <s:v>44971</s:v>
      </s:c>
      <s:c r="G60" s="29">
        <s:v>44971</s:v>
      </s:c>
      <s:c r="H60" s="14" t="s">
        <s:v>98</s:v>
      </s:c>
      <s:c r="I60" s="14"/>
      <s:c r="J60" s="4"/>
    </s:row>
    <s:row r="61">
      <s:c r="A61">
        <s:v>60</s:v>
      </s:c>
      <s:c r="B61" s="84" t="s">
        <s:v>133</s:v>
      </s:c>
      <s:c r="C61" s="84" t="s">
        <s:v>109</s:v>
      </s:c>
      <s:c r="D61" s="29">
        <s:v>45476</s:v>
      </s:c>
      <s:c r="E61" t="s">
        <s:v>99</s:v>
      </s:c>
      <s:c r="F61" s="29">
        <s:v>45110</s:v>
      </s:c>
      <s:c r="G61" s="29">
        <s:v>45110</s:v>
      </s:c>
      <s:c r="H61" s="3" t="s">
        <s:v>100</s:v>
      </s:c>
      <s:c r="I61" s="3"/>
      <s:c r="J61" s="4" t="s">
        <s:v>14</s:v>
      </s:c>
    </s:row>
    <s:row r="62">
      <s:c r="A62">
        <s:v>61</s:v>
      </s:c>
      <s:c r="B62" s="84" t="s">
        <s:v>133</s:v>
      </s:c>
      <s:c r="C62" s="84" t="s">
        <s:v>109</s:v>
      </s:c>
      <s:c r="D62" s="29">
        <s:v>45481</s:v>
      </s:c>
      <s:c r="E62" t="s">
        <s:v>11</s:v>
      </s:c>
      <s:c r="F62" s="29">
        <s:v>45184</s:v>
      </s:c>
      <s:c r="G62" s="29">
        <s:v>45184</s:v>
      </s:c>
      <s:c r="H62" s="12" t="s">
        <s:v>101</s:v>
      </s:c>
      <s:c r="I62" s="3"/>
      <s:c r="J62" s="4" t="s">
        <s:v>14</s:v>
      </s:c>
    </s:row>
    <s:row r="63" ht="17.25" customHeight="1">
      <s:c r="A63">
        <s:v>62</s:v>
      </s:c>
      <s:c r="B63" s="84" t="s">
        <s:v>133</s:v>
      </s:c>
      <s:c r="C63" s="84" t="s">
        <s:v>109</s:v>
      </s:c>
      <s:c r="D63" s="29">
        <s:v>45484</s:v>
      </s:c>
      <s:c r="E63" t="s">
        <s:v>11</s:v>
      </s:c>
      <s:c r="F63" s="29">
        <s:v>45022</s:v>
      </s:c>
      <s:c r="G63" s="29">
        <s:v>45022</s:v>
      </s:c>
      <s:c r="H63" s="12" t="s">
        <s:v>102</s:v>
      </s:c>
      <s:c r="I63" s="3"/>
      <s:c r="J63" s="4" t="s">
        <s:v>14</s:v>
      </s:c>
    </s:row>
    <s:row r="64">
      <s:c r="A64">
        <s:v>63</s:v>
      </s:c>
      <s:c r="B64" s="84" t="s">
        <s:v>133</s:v>
      </s:c>
      <s:c r="C64" s="84" t="s">
        <s:v>109</s:v>
      </s:c>
      <s:c r="D64" s="29">
        <s:v>45485</s:v>
      </s:c>
      <s:c r="E64" t="s">
        <s:v>11</s:v>
      </s:c>
      <s:c r="F64" s="29">
        <s:v>45079</s:v>
      </s:c>
      <s:c r="G64" s="29">
        <s:v>45079</s:v>
      </s:c>
      <s:c r="H64" s="12" t="s">
        <s:v>103</s:v>
      </s:c>
      <s:c r="I64" s="3"/>
      <s:c r="J64" s="4" t="s">
        <s:v>14</s:v>
      </s:c>
    </s:row>
    <s:row r="65">
      <s:c r="A65">
        <s:v>64</s:v>
      </s:c>
      <s:c r="B65" s="84" t="s">
        <s:v>133</s:v>
      </s:c>
      <s:c r="C65" s="84" t="s">
        <s:v>109</s:v>
      </s:c>
      <s:c r="D65" s="29">
        <s:v>45480</s:v>
      </s:c>
      <s:c r="E65" t="s">
        <s:v>28</s:v>
      </s:c>
      <s:c r="F65" s="29" t="s">
        <s:v>12</s:v>
      </s:c>
      <s:c r="G65" s="29">
        <s:v>44970</s:v>
      </s:c>
      <s:c r="H65" s="3" t="s">
        <s:v>29</s:v>
      </s:c>
      <s:c r="I65" s="3" t="s">
        <s:v>17</s:v>
      </s:c>
      <s:c r="J65" s="4" t="s">
        <s:v>104</s:v>
      </s:c>
    </s:row>
    <s:row r="66">
      <s:c r="A66">
        <s:v>65</s:v>
      </s:c>
      <s:c r="B66" s="84" t="s">
        <s:v>133</s:v>
      </s:c>
      <s:c r="C66" s="84" t="s">
        <s:v>109</s:v>
      </s:c>
      <s:c r="D66" s="29">
        <s:v>46219</s:v>
      </s:c>
      <s:c r="E66" t="s">
        <s:v>28</s:v>
      </s:c>
      <s:c r="F66" s="29" t="s">
        <s:v>12</s:v>
      </s:c>
      <s:c r="G66" s="29">
        <s:v>44966</s:v>
      </s:c>
      <s:c r="H66" s="3" t="s">
        <s:v>29</s:v>
      </s:c>
      <s:c r="I66" s="3"/>
      <s:c r="J66" s="4" t="s">
        <s:v>104</s:v>
      </s:c>
    </s:row>
    <s:row r="67">
      <s:c r="A67">
        <s:v>66</s:v>
      </s:c>
      <s:c r="B67" s="84" t="s">
        <s:v>133</s:v>
      </s:c>
      <s:c r="C67" s="84" t="s">
        <s:v>109</s:v>
      </s:c>
      <s:c r="D67" s="29">
        <s:v>45480</s:v>
      </s:c>
      <s:c r="E67" t="s">
        <s:v>28</s:v>
      </s:c>
      <s:c r="F67" s="29" t="s">
        <s:v>12</s:v>
      </s:c>
      <s:c r="G67" s="29">
        <s:v>45069</s:v>
      </s:c>
      <s:c r="H67" s="3" t="s">
        <s:v>29</s:v>
      </s:c>
      <s:c r="I67" s="3"/>
      <s:c r="J67" s="4" t="s">
        <s:v>104</s:v>
      </s:c>
    </s:row>
    <s:row r="68">
      <s:c r="A68">
        <s:v>67</s:v>
      </s:c>
      <s:c r="B68" s="84" t="s">
        <s:v>133</s:v>
      </s:c>
      <s:c r="C68" s="84" t="s">
        <s:v>109</s:v>
      </s:c>
      <s:c r="D68" s="29">
        <s:v>45485</s:v>
      </s:c>
      <s:c r="E68" t="s">
        <s:v>11</s:v>
      </s:c>
      <s:c r="F68" s="29">
        <s:v>45110</s:v>
      </s:c>
      <s:c r="G68" s="29">
        <s:v>45110</s:v>
      </s:c>
      <s:c r="H68" s="12" t="s">
        <s:v>105</s:v>
      </s:c>
      <s:c r="I68" s="3"/>
      <s:c r="J68" s="4" t="s">
        <s:v>14</s:v>
      </s:c>
    </s:row>
    <s:row r="69">
      <s:c r="A69">
        <s:v>68</s:v>
      </s:c>
      <s:c r="B69" s="101" t="s">
        <s:v>126</s:v>
      </s:c>
      <s:c r="C69" s="101" t="s">
        <s:v>127</s:v>
      </s:c>
      <s:c r="D69" s="29">
        <s:v>45485</s:v>
      </s:c>
      <s:c r="E69" t="s">
        <s:v>11</s:v>
      </s:c>
      <s:c r="F69" s="29">
        <s:v>45076</s:v>
      </s:c>
      <s:c r="G69" s="29">
        <s:v>45076</s:v>
      </s:c>
      <s:c r="H69" s="12" t="s">
        <s:v>106</s:v>
      </s:c>
      <s:c r="I69" s="3"/>
      <s:c r="J69" s="4" t="s">
        <s:v>14</s:v>
      </s:c>
    </s:row>
    <s:row r="70" ht="15.75">
      <s:c r="B70" s="6"/>
    </s:row>
    <s:row r="71">
      <s:c r="B71" s="6"/>
    </s:row>
    <s:row r="72">
      <s:c r="B72" s="1"/>
      <s:c r="E72" s="0"/>
      <s:c r="F72" s="0"/>
    </s:row>
    <s:row r="73" ht="15.75">
      <s:c r="B73" s="94" t="str" cm="1">
        <s:f t="array" ref="B73:B75" validation_="true">_xlfn.UNIQUE(B2:B69)</s:f>
        <s:v>1.7.8.4387</s:v>
      </s:c>
      <s:c r="C73" s="105">
        <s:f validation_="true">COUNTIF(B2:B69, B73)</s:f>
        <s:v>42</s:v>
      </s:c>
      <s:c r="E73" s="0"/>
      <s:c r="F73" s="94" t="str" cm="1">
        <s:f t="array" ref="F73:F78" validation_="true">_xlfn.UNIQUE(C2:C69)</s:f>
        <s:v>2</s:v>
      </s:c>
      <s:c r="G73" s="108">
        <s:f validation_="true">COUNTIF(C2:CB69, F73)</s:f>
        <s:v>42</s:v>
      </s:c>
      <s:c r="L73" s="89"/>
      <s:c r="M73" s="89"/>
      <s:c r="N73" s="89"/>
      <s:c r="O73" s="89"/>
      <s:c r="P73" s="89"/>
      <s:c r="Q73" s="89"/>
      <s:c r="R73" s="89"/>
      <s:c r="S73" s="89"/>
      <s:c r="T73" s="89"/>
      <s:c r="U73" s="89"/>
      <s:c r="V73" s="89"/>
      <s:c r="W73" s="89"/>
      <s:c r="X73" s="89"/>
      <s:c r="Y73" s="89"/>
      <s:c r="Z73" s="89"/>
      <s:c r="AA73" s="89"/>
      <s:c r="AB73" s="89"/>
      <s:c r="AC73" s="89"/>
      <s:c r="AD73" s="89"/>
    </s:row>
    <s:row r="74" ht="15.75">
      <s:c r="B74" s="0" t="str">
        <s:v>1.7.9.5516</s:v>
      </s:c>
      <s:c r="C74" s="105">
        <s:f validation_="true">COUNTIF(B2:B69, B74)</s:f>
        <s:v>7</s:v>
      </s:c>
      <s:c r="E74" s="0"/>
      <s:c r="F74" s="96" t="str">
        <s:v>0</s:v>
      </s:c>
      <s:c r="G74" s="109">
        <s:f validation_="true">COUNTIF(C2:CB69, F74)</s:f>
        <s:v>6</s:v>
      </s:c>
      <s:c r="L74" s="89"/>
      <s:c r="M74" s="89"/>
      <s:c r="N74" s="89"/>
      <s:c r="O74" s="89"/>
      <s:c r="P74" s="89"/>
      <s:c r="Q74" s="89"/>
      <s:c r="R74" s="89"/>
      <s:c r="S74" s="89"/>
      <s:c r="T74" s="89"/>
      <s:c r="U74" s="89"/>
      <s:c r="V74" s="89"/>
      <s:c r="W74" s="89"/>
      <s:c r="X74" s="89"/>
      <s:c r="Y74" s="89"/>
      <s:c r="Z74" s="89"/>
      <s:c r="AA74" s="89"/>
      <s:c r="AB74" s="89"/>
      <s:c r="AC74" s="89"/>
      <s:c r="AD74" s="89"/>
    </s:row>
    <s:row r="75" ht="15.75">
      <s:c r="B75" s="0" t="str">
        <s:v>1.7.7.3964</s:v>
      </s:c>
      <s:c r="C75" s="105">
        <s:f validation_="true">COUNTIF(B2:B69, B75)</s:f>
        <s:v>19</s:v>
      </s:c>
      <s:c r="E75">
        <s:v/>
      </s:c>
      <s:c r="F75" s="98" t="str">
        <s:v>1</s:v>
      </s:c>
      <s:c r="G75" s="109">
        <s:f validation_="true">COUNTIF(C2:CB69, F75)</s:f>
        <s:v>1</s:v>
      </s:c>
      <s:c r="L75" s="89"/>
      <s:c r="M75" s="89"/>
      <s:c r="N75" s="89"/>
      <s:c r="O75" s="89"/>
      <s:c r="P75" s="89"/>
      <s:c r="Q75" s="89"/>
      <s:c r="R75" s="89"/>
      <s:c r="S75" s="89"/>
      <s:c r="T75" s="89"/>
      <s:c r="U75" s="89"/>
      <s:c r="V75" s="89"/>
      <s:c r="W75" s="89"/>
      <s:c r="X75" s="89"/>
      <s:c r="Y75" s="89"/>
      <s:c r="Z75" s="89"/>
      <s:c r="AA75" s="89"/>
      <s:c r="AB75" s="89"/>
      <s:c r="AC75" s="89"/>
      <s:c r="AD75" s="89"/>
    </s:row>
    <s:row r="76" ht="15.75">
      <s:c r="B76" s="95">
        <s:v/>
      </s:c>
      <s:c r="C76" s="1"/>
      <s:c r="E76" s="18">
        <s:v/>
      </s:c>
      <s:c r="F76" s="98" t="str">
        <s:v>11</s:v>
      </s:c>
      <s:c r="G76" s="109">
        <s:f validation_="true">COUNTIF(C2:CB69, F76)</s:f>
        <s:v>5</s:v>
      </s:c>
      <s:c r="L76" s="89"/>
      <s:c r="M76" s="90"/>
      <s:c r="N76" s="90"/>
      <s:c r="O76" s="90"/>
      <s:c r="P76" s="90"/>
      <s:c r="Q76" s="90"/>
      <s:c r="R76" s="90"/>
      <s:c r="S76" s="90"/>
      <s:c r="T76" s="90"/>
      <s:c r="U76" s="90"/>
      <s:c r="V76" s="90"/>
      <s:c r="W76" s="90"/>
      <s:c r="X76" s="90"/>
      <s:c r="Y76" s="90"/>
      <s:c r="Z76" s="90"/>
      <s:c r="AA76" s="90"/>
      <s:c r="AB76" s="90"/>
      <s:c r="AC76" s="90"/>
      <s:c r="AD76" s="90"/>
    </s:row>
    <s:row r="77" ht="15.75">
      <s:c r="B77" s="93"/>
      <s:c r="C77" s="1"/>
      <s:c r="D77" s="30"/>
      <s:c r="E77" s="13">
        <s:v/>
      </s:c>
      <s:c r="F77" t="str">
        <s:v>17</s:v>
      </s:c>
      <s:c r="G77" s="108">
        <s:f validation_="true">COUNTIF(C2:CB69, F77)</s:f>
        <s:v>2</s:v>
      </s:c>
      <s:c r="L77" s="89"/>
      <s:c r="M77" s="91"/>
      <s:c r="N77" s="91"/>
      <s:c r="O77" s="91"/>
      <s:c r="P77" s="91"/>
      <s:c r="Q77" s="91"/>
      <s:c r="R77" s="91"/>
      <s:c r="S77" s="91"/>
      <s:c r="T77" s="91"/>
      <s:c r="U77" s="91"/>
      <s:c r="V77" s="91"/>
      <s:c r="W77" s="91"/>
      <s:c r="X77" s="91"/>
      <s:c r="Y77" s="91"/>
      <s:c r="Z77" s="91"/>
      <s:c r="AA77" s="91"/>
      <s:c r="AB77" s="91"/>
      <s:c r="AC77" s="91"/>
      <s:c r="AD77" s="91"/>
    </s:row>
    <s:row r="78" ht="15.75">
      <s:c r="B78" s="93"/>
      <s:c r="C78" s="1"/>
      <s:c r="D78" s="31"/>
      <s:c r="E78">
        <s:v/>
      </s:c>
      <s:c r="F78">
        <s:v>8</s:v>
      </s:c>
      <s:c r="G78" s="108">
        <s:f validation_="true">COUNTIF(C2:CB69, F78)</s:f>
        <s:v>12</s:v>
      </s:c>
      <s:c r="L78" s="89"/>
      <s:c r="M78" s="89"/>
      <s:c r="N78" s="89"/>
      <s:c r="O78" s="89"/>
      <s:c r="P78" s="89"/>
      <s:c r="Q78" s="89"/>
      <s:c r="R78" s="89"/>
      <s:c r="S78" s="89"/>
      <s:c r="T78" s="89"/>
      <s:c r="U78" s="89"/>
      <s:c r="V78" s="89"/>
      <s:c r="W78" s="89"/>
      <s:c r="X78" s="89"/>
      <s:c r="Y78" s="89"/>
      <s:c r="Z78" s="89"/>
      <s:c r="AA78" s="89"/>
      <s:c r="AB78" s="89"/>
      <s:c r="AC78" s="89"/>
      <s:c r="AD78" s="89"/>
    </s:row>
    <s:row r="79" ht="15.75">
      <s:c r="B79" s="93"/>
      <s:c r="C79" s="1"/>
      <s:c r="D79" s="31"/>
      <s:c r="E79">
        <s:v/>
      </s:c>
      <s:c r="F79">
        <s:v/>
      </s:c>
      <s:c r="L79" s="89"/>
      <s:c r="M79" s="89"/>
      <s:c r="N79" s="89"/>
      <s:c r="O79" s="89"/>
      <s:c r="P79" s="89"/>
      <s:c r="Q79" s="89"/>
      <s:c r="R79" s="89"/>
      <s:c r="S79" s="89"/>
      <s:c r="T79" s="89"/>
      <s:c r="U79" s="89"/>
      <s:c r="V79" s="89"/>
      <s:c r="W79" s="89"/>
      <s:c r="X79" s="89"/>
      <s:c r="Y79" s="89"/>
      <s:c r="Z79" s="89"/>
      <s:c r="AA79" s="89"/>
      <s:c r="AB79" s="89"/>
      <s:c r="AC79" s="89"/>
      <s:c r="AD79" s="89"/>
    </s:row>
    <s:row r="80" ht="15.75">
      <s:c r="C80" s="1"/>
      <s:c r="D80" s="31"/>
      <s:c r="E80">
        <s:v/>
      </s:c>
      <s:c r="L80" s="89"/>
      <s:c r="M80" s="89"/>
      <s:c r="N80" s="89"/>
      <s:c r="O80" s="89"/>
      <s:c r="P80" s="89"/>
      <s:c r="Q80" s="89"/>
      <s:c r="R80" s="89"/>
      <s:c r="S80" s="89"/>
      <s:c r="T80" s="89"/>
      <s:c r="U80" s="89"/>
      <s:c r="V80" s="89"/>
      <s:c r="W80" s="89"/>
      <s:c r="X80" s="89"/>
      <s:c r="Y80" s="89"/>
      <s:c r="Z80" s="89"/>
      <s:c r="AA80" s="89"/>
      <s:c r="AB80" s="89"/>
      <s:c r="AC80" s="89"/>
      <s:c r="AD80" s="89"/>
    </s:row>
    <s:row r="81" ht="15.75">
      <s:c r="C81" s="1"/>
      <s:c r="D81" s="31"/>
      <s:c r="E81">
        <s:v/>
      </s:c>
    </s:row>
    <s:row r="82" ht="15.75">
      <s:c r="C82" s="1"/>
      <s:c r="D82" s="31"/>
      <s:c r="E82">
        <s:v/>
      </s:c>
    </s:row>
    <s:row r="83" ht="15.75">
      <s:c r="C83" s="1"/>
      <s:c r="D83" s="31"/>
      <s:c r="E83">
        <s:v/>
      </s:c>
    </s:row>
    <s:row r="84" ht="15.75">
      <s:c r="C84" s="1"/>
      <s:c r="D84" s="31"/>
      <s:c r="E84">
        <s:v/>
      </s:c>
    </s:row>
    <s:row r="85" ht="15.75">
      <s:c r="C85" s="1"/>
      <s:c r="D85" s="31"/>
      <s:c r="E85">
        <s:v/>
      </s:c>
    </s:row>
    <s:row r="86" ht="15.75">
      <s:c r="C86" s="1"/>
      <s:c r="D86" s="31"/>
      <s:c r="E86">
        <s:v/>
      </s:c>
    </s:row>
    <s:row r="87" ht="15.75">
      <s:c r="D87" s="31"/>
      <s:c r="E87">
        <s:v/>
      </s:c>
      <s:c r="J87" s="110"/>
    </s:row>
    <s:row r="88">
      <s:c r="E88">
        <s:v/>
      </s:c>
    </s:row>
    <s:row r="89">
      <s:c r="E89">
        <s:v/>
      </s:c>
    </s:row>
    <s:row r="90">
      <s:c r="E90">
        <s:v/>
      </s:c>
    </s:row>
    <s:row r="91">
      <s:c r="E91">
        <s:v/>
      </s:c>
    </s:row>
    <s:row r="92">
      <s:c r="E92">
        <s:v/>
      </s:c>
    </s:row>
    <s:row r="93">
      <s:c r="E93">
        <s:v/>
      </s:c>
    </s:row>
    <s:row r="94">
      <s:c r="E94">
        <s:v/>
      </s:c>
    </s:row>
    <s:row r="95">
      <s:c r="E95">
        <s:v/>
      </s:c>
    </s:row>
    <s:row r="96">
      <s:c r="E96">
        <s:v/>
      </s:c>
    </s:row>
    <s:row r="97">
      <s:c r="E97">
        <s:v/>
      </s:c>
    </s:row>
    <s:row r="98">
      <s:c r="E98">
        <s:v/>
      </s:c>
    </s:row>
    <s:row r="99">
      <s:c r="E99">
        <s:v/>
      </s:c>
    </s:row>
    <s:row r="100">
      <s:c r="E100">
        <s:v/>
      </s:c>
    </s:row>
    <s:row r="101">
      <s:c r="E101">
        <s:v/>
      </s:c>
    </s:row>
    <s:row r="102">
      <s:c r="E102">
        <s:v/>
      </s:c>
    </s:row>
    <s:row r="103">
      <s:c r="E103">
        <s:v/>
      </s:c>
    </s:row>
    <s:row r="104">
      <s:c r="E104">
        <s:v/>
      </s:c>
    </s:row>
    <s:row r="105">
      <s:c r="E105">
        <s:v/>
      </s:c>
    </s:row>
    <s:row r="106">
      <s:c r="E106">
        <s:v/>
      </s:c>
    </s:row>
    <s:row r="107">
      <s:c r="E107">
        <s:v/>
      </s:c>
    </s:row>
    <s:row r="108">
      <s:c r="E108">
        <s:v/>
      </s:c>
    </s:row>
    <s:row r="109">
      <s:c r="E109">
        <s:v/>
      </s:c>
    </s:row>
    <s:row r="110">
      <s:c r="E110">
        <s:v/>
      </s:c>
    </s:row>
    <s:row r="111">
      <s:c r="E111">
        <s:v/>
      </s:c>
    </s:row>
    <s:row r="112">
      <s:c r="E112">
        <s:v/>
      </s:c>
    </s:row>
    <s:row r="113">
      <s:c r="E113">
        <s:v/>
      </s:c>
    </s:row>
    <s:row r="114">
      <s:c r="E114">
        <s:v/>
      </s:c>
    </s:row>
    <s:row r="115">
      <s:c r="E115">
        <s:v/>
      </s:c>
    </s:row>
    <s:row r="116">
      <s:c r="E116">
        <s:v/>
      </s:c>
    </s:row>
    <s:row r="117">
      <s:c r="E117">
        <s:v/>
      </s:c>
    </s:row>
    <s:row r="118">
      <s:c r="E118">
        <s:v/>
      </s:c>
    </s:row>
    <s:row r="119">
      <s:c r="E119">
        <s:v/>
      </s:c>
    </s:row>
    <s:row r="120">
      <s:c r="E120">
        <s:v/>
      </s:c>
    </s:row>
    <s:row r="121">
      <s:c r="E121">
        <s:v/>
      </s:c>
    </s:row>
    <s:row r="122">
      <s:c r="E122">
        <s:v/>
      </s:c>
    </s:row>
    <s:row r="123">
      <s:c r="E123">
        <s:v/>
      </s:c>
    </s:row>
    <s:row r="124">
      <s:c r="E124">
        <s:v/>
      </s:c>
    </s:row>
    <s:row r="125">
      <s:c r="E125">
        <s:v/>
      </s:c>
    </s:row>
    <s:row r="126">
      <s:c r="E126">
        <s:v/>
      </s:c>
    </s:row>
    <s:row r="127">
      <s:c r="E127">
        <s:v/>
      </s:c>
    </s:row>
    <s:row r="128">
      <s:c r="E128">
        <s:v/>
      </s:c>
    </s:row>
    <s:row r="129">
      <s:c r="E129">
        <s:v/>
      </s:c>
    </s:row>
    <s:row r="130">
      <s:c r="E130">
        <s:v/>
      </s:c>
    </s:row>
    <s:row r="131">
      <s:c r="E131">
        <s:v/>
      </s:c>
    </s:row>
    <s:row r="132">
      <s:c r="E132">
        <s:v/>
      </s:c>
    </s:row>
    <s:row r="133">
      <s:c r="E133">
        <s:v/>
      </s:c>
    </s:row>
    <s:row r="134">
      <s:c r="E134">
        <s:v/>
      </s:c>
    </s:row>
    <s:row r="135">
      <s:c r="E135">
        <s:v/>
      </s:c>
    </s:row>
    <s:row r="136">
      <s:c r="E136">
        <s:v/>
      </s:c>
    </s:row>
    <s:row r="137">
      <s:c r="E137">
        <s:v/>
      </s:c>
    </s:row>
    <s:row r="138">
      <s:c r="E138">
        <s:v/>
      </s:c>
    </s:row>
    <s:row r="139">
      <s:c r="E139">
        <s:v/>
      </s:c>
    </s:row>
    <s:row r="140">
      <s:c r="E140">
        <s:v/>
      </s:c>
    </s:row>
  </s:sheetData>
  <s:printOptions headings="0" gridLines="0"/>
  <s:pageMargins left="0.701" right="0.701" top="0.752" bottom="0.752" header="0.3" footer="0.3"/>
  <s:pageSetup paperSize="9" scale="100" fitToWidth="1" fitToHeight="1" pageOrder="downThenOver" orientation="portrait" usePrinterDefaults="1" blackAndWhite="0" draft="0" cellComments="none" useFirstPageNumber="0" errors="displayed" horizontalDpi="600" verticalDpi="600" copies="1"/>
  <s:headerFooter/>
  <s:drawing r:id="rId1"/>
  <s:legacyDrawing r:id="rId2"/>
  <s:tableParts count="1">
    <s:tablePart r:id="rId5"/>
  </s:tableParts>
  <s:extLst>
    <s:ext uri="{3A4CF648-6AED-40f4-86FF-DC5316D8AED3}">
      <x14:slicerList>
        <x14:slicer r:id="rId6"/>
      </x14:slicerList>
    </s:ext>
  </s:extLst>
</s:worksheet>
</file>

<file path=xl/worksheets/sheet2.xml><?xml version="1.0" encoding="utf-8"?>
<s:worksheet xmlns:x14ac="http://schemas.microsoft.com/office/spreadsheetml/2009/9/ac" xmlns:mc="http://schemas.openxmlformats.org/markup-compatibility/2006" xmlns:x14="http://schemas.microsoft.com/office/spreadsheetml/2009/9/main" xmlns:r="http://schemas.openxmlformats.org/officeDocument/2006/relationships" xmlns:s="http://schemas.openxmlformats.org/spreadsheetml/2006/main" mc:Ignorable="x14ac">
  <s:sheetPr>
    <s:outlinePr applyStyles="0" summaryBelow="1" summaryRight="1" showOutlineSymbols="1"/>
    <s:pageSetUpPr autoPageBreaks="1" fitToPage="1"/>
  </s:sheetPr>
  <s:sheetViews>
    <s:sheetView tabSelected="0" zoomScale="100" workbookViewId="0">
      <s:selection activeCell="F13" activeCellId="0" sqref="F13"/>
    </s:sheetView>
  </s:sheetViews>
  <s:sheetFormatPr defaultColWidth="10" defaultRowHeight="14.25"/>
  <s:cols>
    <s:col min="1" max="1" width="11.711" customWidth="1"/>
    <s:col min="2" max="2" width="16.855" bestFit="1" customWidth="1"/>
    <s:col min="3" max="3" width="19.57" bestFit="1" customWidth="1"/>
    <s:col min="4" max="4" width="17.141" customWidth="1"/>
    <s:col min="5" max="5" width="37.574" customWidth="1"/>
    <s:col min="6" max="6" width="11.711" bestFit="1"/>
  </s:cols>
  <s:sheetData>
    <s:row r="1">
      <s:c r="A1" s="20" t="s">
        <s:v>0</s:v>
      </s:c>
      <s:c r="B1" s="21" t="s">
        <s:v>1</s:v>
      </s:c>
      <s:c r="C1" s="21" t="s">
        <s:v>118</s:v>
      </s:c>
      <s:c r="D1" s="3" t="s">
        <s:v>119</s:v>
      </s:c>
      <s:c r="E1" s="6" t="s">
        <s:v>4</s:v>
      </s:c>
      <s:c r="F1" t="s">
        <s:v>120</s:v>
      </s:c>
    </s:row>
    <s:row r="2">
      <s:c r="A2" s="3">
        <s:v>1</s:v>
      </s:c>
      <s:c r="B2" s="17" t="s">
        <s:v>121</s:v>
      </s:c>
      <s:c r="C2" s="22">
        <s:v>45511</s:v>
      </s:c>
      <s:c r="D2" s="22">
        <s:v>45567</s:v>
      </s:c>
      <s:c r="E2" s="13" t="s">
        <s:v>11</s:v>
      </s:c>
    </s:row>
    <s:row r="3">
      <s:c r="A3" s="3">
        <s:v>2</s:v>
      </s:c>
      <s:c r="B3" s="17" t="s">
        <s:v>121</s:v>
      </s:c>
      <s:c r="C3" s="22">
        <s:v>45511</s:v>
      </s:c>
      <s:c r="D3" s="22">
        <s:v>45573</s:v>
      </s:c>
      <s:c r="E3" s="13" t="s">
        <s:v>11</s:v>
      </s:c>
    </s:row>
    <s:row r="4">
      <s:c r="A4" s="3">
        <s:v>3</s:v>
      </s:c>
      <s:c r="B4" s="17" t="s">
        <s:v>121</s:v>
      </s:c>
      <s:c r="C4" s="22">
        <s:v>45511</s:v>
      </s:c>
      <s:c r="D4" s="22">
        <s:v>45573</s:v>
      </s:c>
      <s:c r="E4" s="13" t="s">
        <s:v>11</s:v>
      </s:c>
    </s:row>
    <s:row r="5">
      <s:c r="A5" s="3">
        <s:v>4</s:v>
      </s:c>
      <s:c r="B5" s="17" t="s">
        <s:v>121</s:v>
      </s:c>
      <s:c r="C5" s="22">
        <s:v>45511</s:v>
      </s:c>
      <s:c r="D5" s="22">
        <s:v>45573</s:v>
      </s:c>
      <s:c r="E5" s="13" t="s">
        <s:v>11</s:v>
      </s:c>
      <s:c r="G5" s="13"/>
      <s:c r="H5" s="13"/>
      <s:c r="I5" s="13"/>
    </s:row>
    <s:row r="6">
      <s:c r="A6" s="3">
        <s:v>5</s:v>
      </s:c>
      <s:c r="B6" s="17" t="s">
        <s:v>121</s:v>
      </s:c>
      <s:c r="C6" s="22">
        <s:v>45511</s:v>
      </s:c>
      <s:c r="D6" s="22">
        <s:v>45567</s:v>
      </s:c>
      <s:c r="E6" s="13" t="s">
        <s:v>11</s:v>
      </s:c>
    </s:row>
    <s:row r="7">
      <s:c r="A7" s="3">
        <s:v>6</s:v>
      </s:c>
      <s:c r="B7" s="17" t="s">
        <s:v>121</s:v>
      </s:c>
      <s:c r="C7" s="22">
        <s:v>45511</s:v>
      </s:c>
      <s:c r="D7" s="22">
        <s:v>45579</s:v>
      </s:c>
      <s:c r="E7" s="13" t="s">
        <s:v>11</s:v>
      </s:c>
    </s:row>
    <s:row r="8">
      <s:c r="A8" s="3">
        <s:v>7</s:v>
      </s:c>
      <s:c r="B8" s="17" t="s">
        <s:v>121</s:v>
      </s:c>
      <s:c r="C8" s="22">
        <s:v>45511</s:v>
      </s:c>
      <s:c r="D8" s="22">
        <s:v>45572</s:v>
      </s:c>
      <s:c r="E8" s="13" t="s">
        <s:v>11</s:v>
      </s:c>
    </s:row>
    <s:row r="9">
      <s:c r="A9" s="3">
        <s:v>8</s:v>
      </s:c>
      <s:c r="B9" s="17" t="s">
        <s:v>121</s:v>
      </s:c>
      <s:c r="C9" s="22">
        <s:v>45511</s:v>
      </s:c>
      <s:c r="D9" s="22">
        <s:v>45575</s:v>
      </s:c>
      <s:c r="E9" s="13" t="s">
        <s:v>11</s:v>
      </s:c>
    </s:row>
    <s:row r="10">
      <s:c r="A10" s="3">
        <s:v>9</s:v>
      </s:c>
      <s:c r="B10" s="17" t="s">
        <s:v>121</s:v>
      </s:c>
      <s:c r="C10" s="22">
        <s:v>45511</s:v>
      </s:c>
      <s:c r="D10" s="22">
        <s:v>45575</s:v>
      </s:c>
      <s:c r="E10" s="13" t="s">
        <s:v>11</s:v>
      </s:c>
    </s:row>
    <s:row r="11">
      <s:c r="A11" s="3">
        <s:v>10</s:v>
      </s:c>
      <s:c r="B11" s="17" t="s">
        <s:v>121</s:v>
      </s:c>
      <s:c r="C11" s="22">
        <s:v>45511</s:v>
      </s:c>
      <s:c r="D11" s="22">
        <s:v>45579</s:v>
      </s:c>
      <s:c r="E11" s="13" t="s">
        <s:v>11</s:v>
      </s:c>
    </s:row>
    <s:row r="12">
      <s:c r="A12" s="3">
        <s:v>11</s:v>
      </s:c>
      <s:c r="B12" s="17" t="s">
        <s:v>121</s:v>
      </s:c>
      <s:c r="C12" s="22">
        <s:v>45511</s:v>
      </s:c>
      <s:c r="D12" s="22">
        <s:v>45580</s:v>
      </s:c>
      <s:c r="E12" s="13" t="s">
        <s:v>11</s:v>
      </s:c>
    </s:row>
    <s:row r="13">
      <s:c r="A13" s="3">
        <s:v>12</s:v>
      </s:c>
      <s:c r="B13" s="17" t="s">
        <s:v>121</s:v>
      </s:c>
      <s:c r="C13" s="22">
        <s:v>45511</s:v>
      </s:c>
      <s:c r="D13" s="22">
        <s:v>45565</s:v>
      </s:c>
      <s:c r="E13" s="13" t="s">
        <s:v>11</s:v>
      </s:c>
      <s:c r="F13" t="s">
        <s:v>122</s:v>
      </s:c>
    </s:row>
    <s:row r="14">
      <s:c r="A14" s="3">
        <s:v>13</s:v>
      </s:c>
      <s:c r="B14" s="17" t="s">
        <s:v>121</s:v>
      </s:c>
      <s:c r="C14" s="22">
        <s:v>45511</s:v>
      </s:c>
      <s:c r="D14" s="22">
        <s:v>45588</s:v>
      </s:c>
      <s:c r="E14" s="13" t="s">
        <s:v>11</s:v>
      </s:c>
    </s:row>
    <s:row r="15">
      <s:c r="A15" s="3">
        <s:v>14</s:v>
      </s:c>
      <s:c r="B15" s="23" t="s">
        <s:v>121</s:v>
      </s:c>
      <s:c r="C15" s="24">
        <s:v>45327</s:v>
      </s:c>
      <s:c r="D15" s="24">
        <s:v>45338</s:v>
      </s:c>
      <s:c r="E15" s="13" t="s">
        <s:v>28</s:v>
      </s:c>
    </s:row>
    <s:row r="16">
      <s:c r="A16" s="3">
        <s:v>15</s:v>
      </s:c>
      <s:c r="B16" s="17" t="s">
        <s:v>121</s:v>
      </s:c>
      <s:c r="C16" s="22">
        <s:v>45511</s:v>
      </s:c>
      <s:c r="D16" s="22">
        <s:v>45545</s:v>
      </s:c>
      <s:c r="E16" s="13" t="s">
        <s:v>28</s:v>
      </s:c>
    </s:row>
    <s:row r="17">
      <s:c r="A17" s="3">
        <s:v>16</s:v>
      </s:c>
      <s:c r="B17" s="17" t="s">
        <s:v>121</s:v>
      </s:c>
      <s:c r="C17" s="22">
        <s:v>45511</s:v>
      </s:c>
      <s:c r="D17" s="22">
        <s:v>45520</s:v>
      </s:c>
      <s:c r="E17" s="13" t="s">
        <s:v>28</s:v>
      </s:c>
    </s:row>
    <s:row r="18">
      <s:c r="A18" s="3">
        <s:v>17</s:v>
      </s:c>
      <s:c r="B18" s="17" t="s">
        <s:v>121</s:v>
      </s:c>
      <s:c r="C18" s="22">
        <s:v>45511</s:v>
      </s:c>
      <s:c r="D18" s="22">
        <s:v>45580</s:v>
      </s:c>
      <s:c r="E18" s="13" t="s">
        <s:v>28</s:v>
      </s:c>
    </s:row>
    <s:row r="19">
      <s:c r="A19" s="3">
        <s:v>18</s:v>
      </s:c>
      <s:c r="B19" s="17" t="s">
        <s:v>121</s:v>
      </s:c>
      <s:c r="C19" s="22">
        <s:v>45511</s:v>
      </s:c>
      <s:c r="D19" s="22">
        <s:v>45581</s:v>
      </s:c>
      <s:c r="E19" s="13" t="s">
        <s:v>28</s:v>
      </s:c>
    </s:row>
    <s:row r="20">
      <s:c r="A20" s="3">
        <s:v>19</s:v>
      </s:c>
      <s:c r="B20" s="17" t="s">
        <s:v>121</s:v>
      </s:c>
      <s:c r="C20" s="22">
        <s:v>45511</s:v>
      </s:c>
      <s:c r="D20" s="22">
        <s:v>45561</s:v>
      </s:c>
      <s:c r="E20" s="13" t="s">
        <s:v>28</s:v>
      </s:c>
    </s:row>
    <s:row r="21">
      <s:c r="A21" s="3">
        <s:v>20</s:v>
      </s:c>
      <s:c r="B21" s="17" t="s">
        <s:v>121</s:v>
      </s:c>
      <s:c r="C21" s="22">
        <s:v>45511</s:v>
      </s:c>
      <s:c r="D21" s="22">
        <s:v>45581</s:v>
      </s:c>
      <s:c r="E21" s="13" t="s">
        <s:v>28</s:v>
      </s:c>
    </s:row>
    <s:row r="22">
      <s:c r="A22" s="3">
        <s:v>21</s:v>
      </s:c>
      <s:c r="B22" s="17" t="s">
        <s:v>121</s:v>
      </s:c>
      <s:c r="C22" s="22">
        <s:v>45511</s:v>
      </s:c>
      <s:c r="D22" s="22">
        <s:v>45540</s:v>
      </s:c>
      <s:c r="E22" s="13" t="s">
        <s:v>28</s:v>
      </s:c>
    </s:row>
    <s:row r="23">
      <s:c r="A23" s="3">
        <s:v>22</s:v>
      </s:c>
      <s:c r="B23" s="17" t="s">
        <s:v>121</s:v>
      </s:c>
      <s:c r="C23" s="22">
        <s:v>45511</s:v>
      </s:c>
      <s:c r="D23" s="22">
        <s:v>45581</s:v>
      </s:c>
      <s:c r="E23" s="13" t="s">
        <s:v>28</s:v>
      </s:c>
    </s:row>
    <s:row r="24">
      <s:c r="A24" s="3">
        <s:v>23</s:v>
      </s:c>
      <s:c r="B24" s="17" t="s">
        <s:v>121</s:v>
      </s:c>
      <s:c r="C24" s="22">
        <s:v>45511</s:v>
      </s:c>
      <s:c r="D24" s="22">
        <s:v>45582</s:v>
      </s:c>
      <s:c r="E24" s="13" t="s">
        <s:v>28</s:v>
      </s:c>
    </s:row>
    <s:row r="25">
      <s:c r="A25" s="3">
        <s:v>24</s:v>
      </s:c>
      <s:c r="B25" s="17" t="s">
        <s:v>121</s:v>
      </s:c>
      <s:c r="C25" s="22">
        <s:v>45511</s:v>
      </s:c>
      <s:c r="D25" s="22">
        <s:v>45546</s:v>
      </s:c>
      <s:c r="E25" s="13" t="s">
        <s:v>28</s:v>
      </s:c>
    </s:row>
    <s:row r="26">
      <s:c r="A26" s="3">
        <s:v>25</s:v>
      </s:c>
      <s:c r="B26" s="17" t="s">
        <s:v>121</s:v>
      </s:c>
      <s:c r="C26" s="22">
        <s:v>45511</s:v>
      </s:c>
      <s:c r="D26" s="22">
        <s:v>45546</s:v>
      </s:c>
      <s:c r="E26" s="13" t="s">
        <s:v>28</s:v>
      </s:c>
    </s:row>
    <s:row r="27">
      <s:c r="A27" s="3">
        <s:v>26</s:v>
      </s:c>
      <s:c r="B27" s="17" t="s">
        <s:v>121</s:v>
      </s:c>
      <s:c r="C27" s="22">
        <s:v>45511</s:v>
      </s:c>
      <s:c r="D27" s="22">
        <s:v>45546</s:v>
      </s:c>
      <s:c r="E27" s="13" t="s">
        <s:v>42</s:v>
      </s:c>
    </s:row>
    <s:row r="28">
      <s:c r="A28" s="3">
        <s:v>27</s:v>
      </s:c>
      <s:c r="B28" s="17" t="s">
        <s:v>121</s:v>
      </s:c>
      <s:c r="C28" s="22">
        <s:v>45511</s:v>
      </s:c>
      <s:c r="D28" s="22">
        <s:v>45540</s:v>
      </s:c>
      <s:c r="E28" s="13" t="s">
        <s:v>42</s:v>
      </s:c>
    </s:row>
    <s:row r="29">
      <s:c r="A29" s="3">
        <s:v>28</s:v>
      </s:c>
      <s:c r="B29" s="17" t="s">
        <s:v>121</s:v>
      </s:c>
      <s:c r="C29" s="22">
        <s:v>45511</s:v>
      </s:c>
      <s:c r="D29" s="22">
        <s:v>45537</s:v>
      </s:c>
      <s:c r="E29" s="13" t="s">
        <s:v>42</s:v>
      </s:c>
    </s:row>
    <s:row r="30">
      <s:c r="A30" s="3">
        <s:v>29</s:v>
      </s:c>
      <s:c r="B30" s="17" t="s">
        <s:v>121</s:v>
      </s:c>
      <s:c r="C30" s="22">
        <s:v>45511</s:v>
      </s:c>
      <s:c r="D30" s="22">
        <s:v>45545</s:v>
      </s:c>
      <s:c r="E30" s="13" t="s">
        <s:v>11</s:v>
      </s:c>
    </s:row>
    <s:row r="31">
      <s:c r="A31" s="3">
        <s:v>30</s:v>
      </s:c>
      <s:c r="B31" s="17" t="s">
        <s:v>121</s:v>
      </s:c>
      <s:c r="C31" s="22">
        <s:v>45511</s:v>
      </s:c>
      <s:c r="D31" s="22">
        <s:v>45587</s:v>
      </s:c>
      <s:c r="E31" s="13" t="s">
        <s:v>11</s:v>
      </s:c>
    </s:row>
    <s:row r="32">
      <s:c r="A32" s="3">
        <s:v>31</s:v>
      </s:c>
      <s:c r="B32" s="17" t="s">
        <s:v>121</s:v>
      </s:c>
      <s:c r="C32" s="22">
        <s:v>45511</s:v>
      </s:c>
      <s:c r="D32" s="22">
        <s:v>45536</s:v>
      </s:c>
      <s:c r="E32" s="13" t="s">
        <s:v>48</s:v>
      </s:c>
    </s:row>
    <s:row r="33">
      <s:c r="A33" s="3">
        <s:v>32</s:v>
      </s:c>
      <s:c r="B33" s="17" t="s">
        <s:v>121</s:v>
      </s:c>
      <s:c r="C33" s="22">
        <s:v>45511</s:v>
      </s:c>
      <s:c r="D33" s="22">
        <s:v>45537</s:v>
      </s:c>
      <s:c r="E33" s="13" t="s">
        <s:v>48</s:v>
      </s:c>
    </s:row>
    <s:row r="34">
      <s:c r="A34" s="3">
        <s:v>33</s:v>
      </s:c>
      <s:c r="B34" s="17" t="s">
        <s:v>121</s:v>
      </s:c>
      <s:c r="C34" s="22">
        <s:v>45511</s:v>
      </s:c>
      <s:c r="D34" s="22">
        <s:v>45536</s:v>
      </s:c>
      <s:c r="E34" s="13" t="s">
        <s:v>51</s:v>
      </s:c>
    </s:row>
    <s:row r="35">
      <s:c r="A35" s="3">
        <s:v>34</s:v>
      </s:c>
      <s:c r="B35" s="17" t="s">
        <s:v>121</s:v>
      </s:c>
      <s:c r="C35" s="22">
        <s:v>45511</s:v>
      </s:c>
      <s:c r="D35" s="22">
        <s:v>45534</s:v>
      </s:c>
      <s:c r="E35" s="13" t="s">
        <s:v>51</s:v>
      </s:c>
    </s:row>
    <s:row r="36">
      <s:c r="A36" s="3">
        <s:v>35</s:v>
      </s:c>
      <s:c r="B36" s="17" t="s">
        <s:v>121</s:v>
      </s:c>
      <s:c r="C36" s="22">
        <s:v>45511</s:v>
      </s:c>
      <s:c r="D36" s="22">
        <s:v>45587</s:v>
      </s:c>
      <s:c r="E36" s="13" t="s">
        <s:v>54</s:v>
      </s:c>
    </s:row>
    <s:row r="37">
      <s:c r="A37" s="3">
        <s:v>36</s:v>
      </s:c>
      <s:c r="B37" s="17" t="s">
        <s:v>121</s:v>
      </s:c>
      <s:c r="C37" s="22">
        <s:v>45511</s:v>
      </s:c>
      <s:c r="D37" s="22">
        <s:v>45525</s:v>
      </s:c>
      <s:c r="E37" s="13" t="s">
        <s:v>55</s:v>
      </s:c>
    </s:row>
    <s:row r="38">
      <s:c r="A38" s="3">
        <s:v>37</s:v>
      </s:c>
      <s:c r="B38" s="23" t="s">
        <s:v>121</s:v>
      </s:c>
      <s:c r="C38" s="24">
        <s:v>45327</s:v>
      </s:c>
      <s:c r="D38" s="24">
        <s:v>45331</s:v>
      </s:c>
      <s:c r="E38" s="13" t="s">
        <s:v>54</s:v>
      </s:c>
    </s:row>
    <s:row r="39">
      <s:c r="A39" s="3">
        <s:v>38</s:v>
      </s:c>
      <s:c r="B39" s="17" t="s">
        <s:v>121</s:v>
      </s:c>
      <s:c r="C39" s="22">
        <s:v>45511</s:v>
      </s:c>
      <s:c r="D39" s="22">
        <s:v>45534</s:v>
      </s:c>
      <s:c r="E39" s="13" t="s">
        <s:v>28</s:v>
      </s:c>
    </s:row>
    <s:row r="40">
      <s:c r="A40" s="3">
        <s:v>39</s:v>
      </s:c>
      <s:c r="B40" s="17" t="s">
        <s:v>121</s:v>
      </s:c>
      <s:c r="C40" s="22">
        <s:v>45511</s:v>
      </s:c>
      <s:c r="D40" s="22">
        <s:v>45533</s:v>
      </s:c>
      <s:c r="E40" s="13" t="s">
        <s:v>28</s:v>
      </s:c>
    </s:row>
    <s:row r="41">
      <s:c r="A41" s="3">
        <s:v>40</s:v>
      </s:c>
      <s:c r="B41" s="17" t="s">
        <s:v>121</s:v>
      </s:c>
      <s:c r="C41" s="22">
        <s:v>45511</s:v>
      </s:c>
      <s:c r="D41" s="22">
        <s:v>45532</s:v>
      </s:c>
      <s:c r="E41" s="13" t="s">
        <s:v>58</s:v>
      </s:c>
    </s:row>
    <s:row r="42">
      <s:c r="A42" s="3">
        <s:v>41</s:v>
      </s:c>
      <s:c r="B42" s="17" t="s">
        <s:v>121</s:v>
      </s:c>
      <s:c r="C42" s="22">
        <s:v>45511</s:v>
      </s:c>
      <s:c r="D42" s="22">
        <s:v>45532</s:v>
      </s:c>
      <s:c r="E42" s="13" t="s">
        <s:v>58</s:v>
      </s:c>
    </s:row>
    <s:row r="43">
      <s:c r="A43" s="3">
        <s:v>42</s:v>
      </s:c>
      <s:c r="B43" s="17" t="s">
        <s:v>121</s:v>
      </s:c>
      <s:c r="C43" s="22">
        <s:v>45511</s:v>
      </s:c>
      <s:c r="D43" s="22">
        <s:v>45531</s:v>
      </s:c>
      <s:c r="E43" s="13" t="s">
        <s:v>61</s:v>
      </s:c>
    </s:row>
    <s:row r="44">
      <s:c r="A44" s="3">
        <s:v>43</s:v>
      </s:c>
      <s:c r="B44" s="17" t="s">
        <s:v>121</s:v>
      </s:c>
      <s:c r="C44" s="22">
        <s:v>45511</s:v>
      </s:c>
      <s:c r="D44" s="22">
        <s:v>45531</s:v>
      </s:c>
      <s:c r="E44" s="13" t="s">
        <s:v>63</s:v>
      </s:c>
    </s:row>
    <s:row r="45">
      <s:c r="A45" s="3">
        <s:v>44</s:v>
      </s:c>
      <s:c r="B45" s="17" t="s">
        <s:v>121</s:v>
      </s:c>
      <s:c r="C45" s="22">
        <s:v>45511</s:v>
      </s:c>
      <s:c r="D45" s="22">
        <s:v>45531</s:v>
      </s:c>
      <s:c r="E45" s="13" t="s">
        <s:v>65</s:v>
      </s:c>
    </s:row>
    <s:row r="46">
      <s:c r="A46" s="3">
        <s:v>45</s:v>
      </s:c>
      <s:c r="B46" s="17" t="s">
        <s:v>121</s:v>
      </s:c>
      <s:c r="C46" s="22">
        <s:v>45511</s:v>
      </s:c>
      <s:c r="D46" s="22">
        <s:v>45530</s:v>
      </s:c>
      <s:c r="E46" s="13" t="s">
        <s:v>67</s:v>
      </s:c>
    </s:row>
    <s:row r="47">
      <s:c r="A47" s="3">
        <s:v>46</s:v>
      </s:c>
      <s:c r="B47" s="17" t="s">
        <s:v>121</s:v>
      </s:c>
      <s:c r="C47" s="22">
        <s:v>45511</s:v>
      </s:c>
      <s:c r="D47" s="22">
        <s:v>45588</s:v>
      </s:c>
      <s:c r="E47" s="13" t="s">
        <s:v>69</s:v>
      </s:c>
    </s:row>
    <s:row r="48">
      <s:c r="A48" s="3">
        <s:v>47</s:v>
      </s:c>
      <s:c r="B48" s="17" t="s">
        <s:v>121</s:v>
      </s:c>
      <s:c r="C48" s="25">
        <s:v>45505</s:v>
      </s:c>
      <s:c r="D48" s="22">
        <s:v>45513</s:v>
      </s:c>
      <s:c r="E48" s="13" t="s">
        <s:v>71</s:v>
      </s:c>
    </s:row>
    <s:row r="49">
      <s:c r="A49" s="3">
        <s:v>48</s:v>
      </s:c>
      <s:c r="B49" s="17" t="s">
        <s:v>121</s:v>
      </s:c>
      <s:c r="C49" s="25">
        <s:v>45505</s:v>
      </s:c>
      <s:c r="D49" s="22">
        <s:v>45513</s:v>
      </s:c>
      <s:c r="E49" s="13" t="s">
        <s:v>73</s:v>
      </s:c>
    </s:row>
    <s:row r="50">
      <s:c r="A50" s="3">
        <s:v>49</s:v>
      </s:c>
      <s:c r="B50" s="17" t="s">
        <s:v>121</s:v>
      </s:c>
      <s:c r="C50" s="25">
        <s:v>45505</s:v>
      </s:c>
      <s:c r="D50" s="22">
        <s:v>45512</s:v>
      </s:c>
      <s:c r="E50" s="13" t="s">
        <s:v>76</s:v>
      </s:c>
    </s:row>
    <s:row r="51">
      <s:c r="A51" s="3">
        <s:v>50</s:v>
      </s:c>
      <s:c r="B51" s="17" t="s">
        <s:v>121</s:v>
      </s:c>
      <s:c r="C51" s="25">
        <s:v>45505</s:v>
      </s:c>
      <s:c r="D51" s="22">
        <s:v>45512</s:v>
      </s:c>
      <s:c r="E51" s="13" t="s">
        <s:v>78</s:v>
      </s:c>
    </s:row>
    <s:row r="52">
      <s:c r="A52" s="3">
        <s:v>51</s:v>
      </s:c>
      <s:c r="B52" s="17" t="s">
        <s:v>121</s:v>
      </s:c>
      <s:c r="C52" s="25">
        <s:v>45505</s:v>
      </s:c>
      <s:c r="D52" s="22">
        <s:v>45512</s:v>
      </s:c>
      <s:c r="E52" s="13" t="s">
        <s:v>80</s:v>
      </s:c>
    </s:row>
    <s:row r="53">
      <s:c r="A53" s="3">
        <s:v>52</s:v>
      </s:c>
      <s:c r="B53" s="17" t="s">
        <s:v>121</s:v>
      </s:c>
      <s:c r="C53" s="25">
        <s:v>45505</s:v>
      </s:c>
      <s:c r="D53" s="22">
        <s:v>45511</s:v>
      </s:c>
      <s:c r="E53" s="13" t="s">
        <s:v>82</s:v>
      </s:c>
    </s:row>
    <s:row r="54">
      <s:c r="A54" s="3">
        <s:v>53</s:v>
      </s:c>
      <s:c r="B54" s="17" t="s">
        <s:v>121</s:v>
      </s:c>
      <s:c r="C54" s="25">
        <s:v>45505</s:v>
      </s:c>
      <s:c r="D54" s="22">
        <s:v>45511</s:v>
      </s:c>
      <s:c r="E54" s="13" t="s">
        <s:v>84</s:v>
      </s:c>
    </s:row>
    <s:row r="55">
      <s:c r="A55" s="3">
        <s:v>54</s:v>
      </s:c>
      <s:c r="B55" s="17" t="s">
        <s:v>121</s:v>
      </s:c>
      <s:c r="C55" s="25">
        <s:v>45505</s:v>
      </s:c>
      <s:c r="D55" s="22">
        <s:v>45511</s:v>
      </s:c>
      <s:c r="E55" s="13" t="s">
        <s:v>87</s:v>
      </s:c>
    </s:row>
    <s:row r="56">
      <s:c r="A56" s="3">
        <s:v>55</s:v>
      </s:c>
      <s:c r="B56" s="17" t="s">
        <s:v>121</s:v>
      </s:c>
      <s:c r="C56" s="22">
        <s:v>45511</s:v>
      </s:c>
      <s:c r="D56" s="22">
        <s:v>45536</s:v>
      </s:c>
      <s:c r="E56" s="13" t="s">
        <s:v>89</s:v>
      </s:c>
    </s:row>
    <s:row r="57">
      <s:c r="A57" s="3">
        <s:v>56</s:v>
      </s:c>
      <s:c r="B57" s="17" t="s">
        <s:v>121</s:v>
      </s:c>
      <s:c r="C57" s="22">
        <s:v>45511</s:v>
      </s:c>
      <s:c r="D57" s="22">
        <s:v>45530</s:v>
      </s:c>
      <s:c r="E57" s="13" t="s">
        <s:v>91</s:v>
      </s:c>
    </s:row>
    <s:row r="58">
      <s:c r="A58" s="3">
        <s:v>57</s:v>
      </s:c>
      <s:c r="B58" s="17" t="s">
        <s:v>121</s:v>
      </s:c>
      <s:c r="C58" s="22">
        <s:v>45511</s:v>
      </s:c>
      <s:c r="D58" s="22">
        <s:v>45527</s:v>
      </s:c>
      <s:c r="E58" s="13" t="s">
        <s:v>93</s:v>
      </s:c>
    </s:row>
    <s:row r="59">
      <s:c r="A59" s="3">
        <s:v>58</s:v>
      </s:c>
      <s:c r="B59" s="17" t="s">
        <s:v>121</s:v>
      </s:c>
      <s:c r="C59" s="25">
        <s:v>45505</s:v>
      </s:c>
      <s:c r="D59" s="22">
        <s:v>45510</s:v>
      </s:c>
      <s:c r="E59" s="16" t="s">
        <s:v>95</s:v>
      </s:c>
    </s:row>
    <s:row r="60">
      <s:c r="A60" s="3">
        <s:v>59</s:v>
      </s:c>
      <s:c r="B60" s="17" t="s">
        <s:v>121</s:v>
      </s:c>
      <s:c r="C60" s="25">
        <s:v>45505</s:v>
      </s:c>
      <s:c r="D60" s="22">
        <s:v>45509</s:v>
      </s:c>
      <s:c r="E60" s="13" t="s">
        <s:v>97</s:v>
      </s:c>
    </s:row>
    <s:row r="61">
      <s:c r="A61" s="3">
        <s:v>60</s:v>
      </s:c>
      <s:c r="B61" s="17" t="s">
        <s:v>121</s:v>
      </s:c>
      <s:c r="C61" s="25">
        <s:v>45505</s:v>
      </s:c>
      <s:c r="D61" s="22">
        <s:v>45509</s:v>
      </s:c>
      <s:c r="E61" s="13" t="s">
        <s:v>99</s:v>
      </s:c>
    </s:row>
    <s:row r="62">
      <s:c r="A62" s="3">
        <s:v>61</s:v>
      </s:c>
      <s:c r="B62" s="17" t="s">
        <s:v>121</s:v>
      </s:c>
      <s:c r="C62" s="22">
        <s:v>45511</s:v>
      </s:c>
      <s:c r="D62" s="22">
        <s:v>45526</s:v>
      </s:c>
      <s:c r="E62" s="13" t="s">
        <s:v>11</s:v>
      </s:c>
    </s:row>
    <s:row r="63">
      <s:c r="A63" s="3">
        <s:v>62</s:v>
      </s:c>
      <s:c r="B63" s="17" t="s">
        <s:v>121</s:v>
      </s:c>
      <s:c r="C63" s="22">
        <s:v>45511</s:v>
      </s:c>
      <s:c r="D63" s="22">
        <s:v>45526</s:v>
      </s:c>
      <s:c r="E63" s="13" t="s">
        <s:v>11</s:v>
      </s:c>
    </s:row>
    <s:row r="64">
      <s:c r="A64" s="3">
        <s:v>63</s:v>
      </s:c>
      <s:c r="B64" s="17" t="s">
        <s:v>121</s:v>
      </s:c>
      <s:c r="C64" s="25">
        <s:v>45505</s:v>
      </s:c>
      <s:c r="D64" s="22">
        <s:v>45509</s:v>
      </s:c>
      <s:c r="E64" s="13" t="s">
        <s:v>11</s:v>
      </s:c>
    </s:row>
    <s:row r="65">
      <s:c r="A65" s="3">
        <s:v>64</s:v>
      </s:c>
      <s:c r="B65" s="17" t="s">
        <s:v>121</s:v>
      </s:c>
      <s:c r="C65" s="25">
        <s:v>45505</s:v>
      </s:c>
      <s:c r="D65" s="22">
        <s:v>45527</s:v>
      </s:c>
      <s:c r="E65" s="13" t="s">
        <s:v>28</s:v>
      </s:c>
    </s:row>
    <s:row r="66">
      <s:c r="A66" s="3">
        <s:v>65</s:v>
      </s:c>
      <s:c r="B66" s="17" t="s">
        <s:v>121</s:v>
      </s:c>
      <s:c r="C66" s="22">
        <s:v>45511</s:v>
      </s:c>
      <s:c r="D66" s="22">
        <s:v>45588</s:v>
      </s:c>
      <s:c r="E66" s="13" t="s">
        <s:v>28</s:v>
      </s:c>
    </s:row>
    <s:row r="67">
      <s:c r="A67" s="3">
        <s:v>66</s:v>
      </s:c>
      <s:c r="B67" s="17" t="s">
        <s:v>121</s:v>
      </s:c>
      <s:c r="C67" s="22">
        <s:v>45511</s:v>
      </s:c>
      <s:c r="D67" s="22">
        <s:v>45525</s:v>
      </s:c>
      <s:c r="E67" s="13" t="s">
        <s:v>28</s:v>
      </s:c>
    </s:row>
    <s:row r="68">
      <s:c r="A68" s="3">
        <s:v>67</s:v>
      </s:c>
      <s:c r="B68" s="17" t="s">
        <s:v>121</s:v>
      </s:c>
      <s:c r="C68" s="22">
        <s:v>45511</s:v>
      </s:c>
      <s:c r="D68" s="22">
        <s:v>45525</s:v>
      </s:c>
      <s:c r="E68" s="13" t="s">
        <s:v>11</s:v>
      </s:c>
    </s:row>
    <s:row r="69">
      <s:c r="A69" s="3">
        <s:v>68</s:v>
      </s:c>
      <s:c r="B69" s="17" t="s">
        <s:v>121</s:v>
      </s:c>
      <s:c r="C69" s="22">
        <s:v>45511</s:v>
      </s:c>
      <s:c r="D69" s="22">
        <s:v>45525</s:v>
      </s:c>
      <s:c r="E69" s="13" t="s">
        <s:v>11</s:v>
      </s:c>
    </s:row>
    <s:row r="70" ht="14.25">
      <s:c r="A70" s="3" t="s">
        <s:v>123</s:v>
      </s:c>
      <s:c r="B70" s="26" t="s">
        <s:v>121</s:v>
      </s:c>
      <s:c r="C70" s="27">
        <s:v>45511</s:v>
      </s:c>
      <s:c r="D70" s="27">
        <s:v>45588</s:v>
      </s:c>
    </s:row>
    <s:row r="71" ht="14.25"/>
    <s:row r="72" ht="14.25">
      <s:c r="B72" t="s">
        <s:v>122</s:v>
      </s:c>
    </s:row>
    <s:row r="73" ht="14.25"/>
    <s:row r="74" ht="14.25"/>
    <s:row r="75" ht="14.25"/>
    <s:row r="76" ht="14.25">
      <s:c r="E76" s="18">
        <s:f>COUNTIF(A2:A69,"1.7.7.3964")</s:f>
        <s:v>0</s:v>
      </s:c>
    </s:row>
    <s:row r="77" ht="14.25">
      <s:c r="E77" s="13"/>
    </s:row>
  </s:sheetData>
  <s:printOptions headings="0" gridLines="0"/>
  <s:pageMargins left="0.701" right="0.701" top="0.394" bottom="0.197" header="0.3" footer="0.3"/>
  <s:pageSetup paperSize="9" scale="51" firstPageNumber="1" fitToWidth="1" fitToHeight="0" pageOrder="downThenOver" orientation="portrait" usePrinterDefaults="1" blackAndWhite="0" draft="0" cellComments="none" useFirstPageNumber="1" errors="displayed" horizontalDpi="600" verticalDpi="600" copies="1"/>
  <s:headerFooter/>
  <s:drawing r:id="rId1"/>
  <s:legacyDrawing r:id="rId2"/>
  <s:tableParts count="1">
    <s:tablePart r:id="rId5"/>
  </s:tableParts>
  <s:extLst>
    <s:ext uri="{3A4CF648-6AED-40f4-86FF-DC5316D8AED3}">
      <x14:slicerList>
        <x14:slicer r:id="rId6"/>
      </x14:slicerList>
    </s:ext>
  </s:extLst>
</s:worksheet>
</file>

<file path=docProps/app.xml><?xml version="1.0" encoding="utf-8"?>
<ep:Properties xmlns:ep="http://schemas.openxmlformats.org/officeDocument/2006/extended-properties">
  <ep:Application>R7-Office/2024.1.1.375</ep:Application>
  <ep:Company/>
  <ep:HyperlinkBase/>
  <ep:Manager/>
</ep:Properties>
</file>

<file path=docProps/core.xml><?xml version="1.0" encoding="utf-8"?>
<cp:coreProperties xmlns:xsi="http://www.w3.org/2001/XMLSchema-instance" xmlns:dc="http://purl.org/dc/elements/1.1/" xmlns:dcterms="http://purl.org/dc/terms/" xmlns:cp="http://schemas.openxmlformats.org/package/2006/metadata/core-properties">
  <dc:title/>
  <dc:subject/>
  <dc:creator/>
  <cp:keywords/>
  <dc:description/>
  <cp:lastModifiedBy>Центр Информационных Технологий</cp:lastModifiedBy>
  <cp:revision>892</cp:revision>
  <dcterms:created xsi:type="dcterms:W3CDTF">2021-08-11T08:41:48Z</dcterms:created>
  <dcterms:modified xsi:type="dcterms:W3CDTF">2025-09-10T10:41:51Z</dcterms:modified>
  <cp:category/>
  <cp:contentStatus/>
</cp:coreProperties>
</file>